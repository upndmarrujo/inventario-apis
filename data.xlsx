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Catálogo_APIs" sheetId="1" r:id="rId1"/>
    <sheet name="Catálogo_Operaciones_API" sheetId="2" r:id="rId2"/>
    <sheet name="Histórico_Proyectos_API" sheetId="3" r:id="rId3"/>
    <sheet name="Dependencias_API" sheetId="4" r:id="rId4"/>
    <sheet name="Listas_Validacion" sheetId="5" r:id="rId5"/>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131"/>
  <sheetViews>
    <sheetView workbookViewId="0"/>
  </sheetViews>
  <cols>
    <col min="1" max="1" width="12.83203125" customWidth="1"/>
    <col min="2" max="2" width="12.83203125" customWidth="1"/>
    <col min="3" max="3" width="12.83203125" customWidth="1"/>
    <col min="4" max="4" width="13.83203125" customWidth="1"/>
    <col min="5" max="5" width="12.83203125" customWidth="1"/>
    <col min="6" max="6" width="15.83203125" customWidth="1"/>
    <col min="7" max="7" width="17.83203125" customWidth="1"/>
    <col min="8" max="8" width="16.83203125" customWidth="1"/>
    <col min="9" max="9" width="13.83203125" customWidth="1"/>
    <col min="10" max="10" width="15.83203125" customWidth="1"/>
    <col min="11" max="11" width="32.83203125" customWidth="1"/>
    <col min="12" max="12" width="23.83203125" customWidth="1"/>
    <col min="13" max="13" width="16.83203125" customWidth="1"/>
    <col min="14" max="14" width="19.83203125" customWidth="1"/>
    <col min="15" max="15" width="20.83203125" customWidth="1"/>
  </cols>
  <sheetData>
    <row r="1">
      <c r="A1" t="str">
        <v>ID API</v>
      </c>
      <c r="B1" t="str">
        <v>País</v>
      </c>
      <c r="C1" t="str">
        <v>Nombre API</v>
      </c>
      <c r="D1" t="str">
        <v>Descripción</v>
      </c>
      <c r="E1" t="str">
        <v>Tipo API</v>
      </c>
      <c r="F1" t="str">
        <v>Business Area</v>
      </c>
      <c r="G1" t="str">
        <v>Business Domain</v>
      </c>
      <c r="H1" t="str">
        <v>Service Domain</v>
      </c>
      <c r="I1" t="str">
        <v>Complejidad</v>
      </c>
      <c r="J1" t="str">
        <v>Estilo Diseño</v>
      </c>
      <c r="K1" t="str">
        <v>Canal Integración (Despliegue)</v>
      </c>
      <c r="L1" t="str">
        <v>URL OpenAPI (SWAGGER)</v>
      </c>
      <c r="M1" t="str">
        <v>Versión Actual</v>
      </c>
      <c r="N1" t="str">
        <v>Fecha de Registro</v>
      </c>
      <c r="O1" t="str">
        <v>Estado_General_API</v>
      </c>
    </row>
    <row r="2">
      <c r="A2" t="str">
        <v>D0001</v>
      </c>
      <c r="B2" t="str">
        <v>Perú</v>
      </c>
      <c r="C2" t="str">
        <v/>
      </c>
      <c r="D2" t="str">
        <v/>
      </c>
      <c r="E2" t="str">
        <v>SD</v>
      </c>
      <c r="F2" t="str">
        <v>Operations and Execution</v>
      </c>
      <c r="G2" t="str">
        <v>Trade Banking</v>
      </c>
      <c r="H2" t="str">
        <v>Credit Facility</v>
      </c>
      <c r="I2" t="str">
        <v/>
      </c>
      <c r="J2" t="str">
        <v>REST</v>
      </c>
      <c r="K2" t="str">
        <v>APIM</v>
      </c>
      <c r="L2" t="str">
        <v/>
      </c>
      <c r="M2" t="str">
        <v>v1.0.0</v>
      </c>
      <c r="N2" t="str">
        <v>2026-02-23</v>
      </c>
      <c r="O2" t="str">
        <v>Activa</v>
      </c>
    </row>
    <row r="3">
      <c r="A3" t="str">
        <v>D0002</v>
      </c>
      <c r="B3" t="str">
        <v>Perú</v>
      </c>
      <c r="C3" t="str">
        <v/>
      </c>
      <c r="D3" t="str">
        <v/>
      </c>
      <c r="E3" t="str">
        <v>SD</v>
      </c>
      <c r="F3" t="str">
        <v>Sales and Service</v>
      </c>
      <c r="G3" t="str">
        <v>Customer Management</v>
      </c>
      <c r="H3" t="str">
        <v>Customer Credit Rating</v>
      </c>
      <c r="I3" t="str">
        <v/>
      </c>
      <c r="J3" t="str">
        <v>REST</v>
      </c>
      <c r="K3" t="str">
        <v>APIM</v>
      </c>
      <c r="L3" t="str">
        <v/>
      </c>
      <c r="M3" t="str">
        <v>v1.0.0</v>
      </c>
      <c r="N3" t="str">
        <v>2026-02-23</v>
      </c>
      <c r="O3" t="str">
        <v>Activa</v>
      </c>
    </row>
    <row r="4">
      <c r="A4" t="str">
        <v>D0003</v>
      </c>
      <c r="B4" t="str">
        <v>Perú</v>
      </c>
      <c r="C4" t="str">
        <v/>
      </c>
      <c r="D4" t="str">
        <v/>
      </c>
      <c r="E4" t="str">
        <v>SD</v>
      </c>
      <c r="F4" t="str">
        <v>Sales and Service</v>
      </c>
      <c r="G4" t="str">
        <v>Customer Management</v>
      </c>
      <c r="H4" t="str">
        <v>Customer Product and Service Directory</v>
      </c>
      <c r="I4" t="str">
        <v/>
      </c>
      <c r="J4" t="str">
        <v>REST</v>
      </c>
      <c r="K4" t="str">
        <v>APIM</v>
      </c>
      <c r="L4" t="str">
        <v/>
      </c>
      <c r="M4" t="str">
        <v>v1.0.0</v>
      </c>
      <c r="N4" t="str">
        <v>2026-02-23</v>
      </c>
      <c r="O4" t="str">
        <v>Activa</v>
      </c>
    </row>
    <row r="5">
      <c r="A5" t="str">
        <v>D0004</v>
      </c>
      <c r="B5" t="str">
        <v>Perú</v>
      </c>
      <c r="C5" t="str">
        <v/>
      </c>
      <c r="D5" t="str">
        <v/>
      </c>
      <c r="E5" t="str">
        <v>PROC</v>
      </c>
      <c r="F5" t="str">
        <v>Risk &amp; Compliance</v>
      </c>
      <c r="G5" t="str">
        <v>Credit Risk Management</v>
      </c>
      <c r="H5" t="str">
        <v>Eval Credit Risk</v>
      </c>
      <c r="I5" t="str">
        <v/>
      </c>
      <c r="J5" t="str">
        <v>REST</v>
      </c>
      <c r="K5" t="str">
        <v>APIM</v>
      </c>
      <c r="L5" t="str">
        <v/>
      </c>
      <c r="M5" t="str">
        <v>v1.0.0</v>
      </c>
      <c r="N5" t="str">
        <v>2026-02-23</v>
      </c>
      <c r="O5" t="str">
        <v>Activa</v>
      </c>
    </row>
    <row r="6">
      <c r="A6" t="str">
        <v>D0005</v>
      </c>
      <c r="B6" t="str">
        <v>Perú</v>
      </c>
      <c r="C6" t="str">
        <v/>
      </c>
      <c r="D6" t="str">
        <v/>
      </c>
      <c r="E6" t="str">
        <v>SD</v>
      </c>
      <c r="F6" t="str">
        <v>Risk and Compliance</v>
      </c>
      <c r="G6" t="str">
        <v>Regulations and Compliance</v>
      </c>
      <c r="H6" t="str">
        <v>Financial Statement Assessment</v>
      </c>
      <c r="I6" t="str">
        <v/>
      </c>
      <c r="J6" t="str">
        <v>REST</v>
      </c>
      <c r="K6" t="str">
        <v>APIM</v>
      </c>
      <c r="L6" t="str">
        <v/>
      </c>
      <c r="M6" t="str">
        <v>v1.0.0</v>
      </c>
      <c r="N6" t="str">
        <v>2026-02-23</v>
      </c>
      <c r="O6" t="str">
        <v>Activa</v>
      </c>
    </row>
    <row r="7">
      <c r="A7" t="str">
        <v>D0006</v>
      </c>
      <c r="B7" t="str">
        <v>Perú</v>
      </c>
      <c r="C7" t="str">
        <v/>
      </c>
      <c r="D7" t="str">
        <v/>
      </c>
      <c r="E7" t="str">
        <v>SD</v>
      </c>
      <c r="F7" t="str">
        <v>Operations and Execution</v>
      </c>
      <c r="G7" t="str">
        <v>Loans and Deposits</v>
      </c>
      <c r="H7" t="str">
        <v>Loan</v>
      </c>
      <c r="I7" t="str">
        <v/>
      </c>
      <c r="J7" t="str">
        <v>REST</v>
      </c>
      <c r="K7" t="str">
        <v>APIM</v>
      </c>
      <c r="L7" t="str">
        <v/>
      </c>
      <c r="M7" t="str">
        <v>v1.0.0</v>
      </c>
      <c r="N7" t="str">
        <v>2026-02-23</v>
      </c>
      <c r="O7" t="str">
        <v>Activa</v>
      </c>
    </row>
    <row r="8">
      <c r="A8" t="str">
        <v>D0007</v>
      </c>
      <c r="B8" t="str">
        <v>Perú</v>
      </c>
      <c r="C8" t="str">
        <v/>
      </c>
      <c r="D8" t="str">
        <v/>
      </c>
      <c r="E8" t="str">
        <v>SD</v>
      </c>
      <c r="F8" t="str">
        <v>Sales and Service</v>
      </c>
      <c r="G8" t="str">
        <v>Customer Management</v>
      </c>
      <c r="H8" t="str">
        <v>Party Reference Data Directory</v>
      </c>
      <c r="I8" t="str">
        <v/>
      </c>
      <c r="J8" t="str">
        <v>REST</v>
      </c>
      <c r="K8" t="str">
        <v>APIM</v>
      </c>
      <c r="L8" t="str">
        <v/>
      </c>
      <c r="M8" t="str">
        <v>v1.0.0</v>
      </c>
      <c r="N8" t="str">
        <v>2026-03-23</v>
      </c>
      <c r="O8" t="str">
        <v>Activa</v>
      </c>
    </row>
    <row r="9">
      <c r="A9" t="str">
        <v>D0008</v>
      </c>
      <c r="B9" t="str">
        <v>Perú</v>
      </c>
      <c r="C9" t="str">
        <v/>
      </c>
      <c r="D9" t="str">
        <v/>
      </c>
      <c r="E9" t="str">
        <v>SD</v>
      </c>
      <c r="F9" t="str">
        <v>Sales and Service</v>
      </c>
      <c r="G9" t="str">
        <v>Sales</v>
      </c>
      <c r="H9" t="str">
        <v>Underwriting</v>
      </c>
      <c r="I9" t="str">
        <v/>
      </c>
      <c r="J9" t="str">
        <v>REST</v>
      </c>
      <c r="K9" t="str">
        <v>APIM</v>
      </c>
      <c r="L9" t="str">
        <v/>
      </c>
      <c r="M9" t="str">
        <v>v1.0.0</v>
      </c>
      <c r="N9" t="str">
        <v>2026-02-23</v>
      </c>
      <c r="O9" t="str">
        <v>Activa</v>
      </c>
    </row>
    <row r="10">
      <c r="A10" t="str">
        <v>D0009</v>
      </c>
      <c r="B10" t="str">
        <v>Perú</v>
      </c>
      <c r="C10" t="str">
        <v/>
      </c>
      <c r="D10" t="str">
        <v/>
      </c>
      <c r="E10" t="str">
        <v>SD</v>
      </c>
      <c r="F10" t="str">
        <v>Sales and Service</v>
      </c>
      <c r="G10" t="str">
        <v>Sales</v>
      </c>
      <c r="H10" t="str">
        <v>Customer Offer</v>
      </c>
      <c r="I10" t="str">
        <v/>
      </c>
      <c r="J10" t="str">
        <v>REST</v>
      </c>
      <c r="K10" t="str">
        <v>APIM</v>
      </c>
      <c r="L10" t="str">
        <v/>
      </c>
      <c r="M10" t="str">
        <v>v1.0.0</v>
      </c>
      <c r="N10" t="str">
        <v>2026-03-23</v>
      </c>
      <c r="O10" t="str">
        <v>Activa</v>
      </c>
    </row>
    <row r="11">
      <c r="A11" t="str">
        <v>D0010</v>
      </c>
      <c r="B11" t="str">
        <v>Perú</v>
      </c>
      <c r="C11" t="str">
        <v/>
      </c>
      <c r="D11" t="str">
        <v/>
      </c>
      <c r="E11" t="str">
        <v>SD</v>
      </c>
      <c r="F11" t="str">
        <v>Sales and Service</v>
      </c>
      <c r="G11" t="str">
        <v>Sales</v>
      </c>
      <c r="H11" t="str">
        <v>Customer Product and Service Directory</v>
      </c>
      <c r="I11" t="str">
        <v/>
      </c>
      <c r="J11" t="str">
        <v>REST</v>
      </c>
      <c r="K11" t="str">
        <v>APIM</v>
      </c>
      <c r="L11" t="str">
        <v/>
      </c>
      <c r="M11" t="str">
        <v>v1.0.0</v>
      </c>
      <c r="N11" t="str">
        <v>2026-03-23</v>
      </c>
      <c r="O11" t="str">
        <v>En Desarrollo</v>
      </c>
    </row>
    <row r="12">
      <c r="A12" t="str">
        <v>D0011</v>
      </c>
      <c r="B12" t="str">
        <v>Perú</v>
      </c>
      <c r="C12" t="str">
        <v/>
      </c>
      <c r="D12" t="str">
        <v/>
      </c>
      <c r="E12" t="str">
        <v>SD</v>
      </c>
      <c r="F12" t="str">
        <v>Risk and Compliance</v>
      </c>
      <c r="G12" t="str">
        <v>Regulations and Compliance</v>
      </c>
      <c r="H12" t="str">
        <v>Regulatory Compliance</v>
      </c>
      <c r="I12" t="str">
        <v/>
      </c>
      <c r="J12" t="str">
        <v>REST</v>
      </c>
      <c r="K12" t="str">
        <v>APIM</v>
      </c>
      <c r="L12" t="str">
        <v/>
      </c>
      <c r="M12" t="str">
        <v>v1.0.0</v>
      </c>
      <c r="N12" t="str">
        <v>2026-03-26</v>
      </c>
      <c r="O12" t="str">
        <v>En Desarrollo</v>
      </c>
    </row>
    <row r="13">
      <c r="A13" t="str">
        <v>D0012</v>
      </c>
      <c r="B13" t="str">
        <v>Perú</v>
      </c>
      <c r="C13" t="str">
        <v/>
      </c>
      <c r="D13" t="str">
        <v/>
      </c>
      <c r="E13" t="str">
        <v>SD</v>
      </c>
      <c r="F13" t="str">
        <v>Operations and Execution</v>
      </c>
      <c r="G13" t="str">
        <v>Consumer Services</v>
      </c>
      <c r="H13" t="str">
        <v>Brokered Product</v>
      </c>
      <c r="I13" t="str">
        <v/>
      </c>
      <c r="J13" t="str">
        <v>REST</v>
      </c>
      <c r="K13" t="str">
        <v>APIM</v>
      </c>
      <c r="L13" t="str">
        <v/>
      </c>
      <c r="M13" t="str">
        <v>v1.0.0</v>
      </c>
      <c r="N13" t="str">
        <v>2026-03-26</v>
      </c>
      <c r="O13" t="str">
        <v>Activa</v>
      </c>
    </row>
    <row r="14">
      <c r="A14" t="str">
        <v>D0013</v>
      </c>
      <c r="B14" t="str">
        <v>Perú</v>
      </c>
      <c r="C14" t="str">
        <v/>
      </c>
      <c r="D14" t="str">
        <v/>
      </c>
      <c r="E14" t="str">
        <v>SD</v>
      </c>
      <c r="F14" t="str">
        <v>Sales and Service</v>
      </c>
      <c r="G14" t="str">
        <v>Customer Management</v>
      </c>
      <c r="H14" t="str">
        <v>Customer Agreement</v>
      </c>
      <c r="I14" t="str">
        <v/>
      </c>
      <c r="J14" t="str">
        <v>REST</v>
      </c>
      <c r="K14" t="str">
        <v>APIM</v>
      </c>
      <c r="L14" t="str">
        <v/>
      </c>
      <c r="M14" t="str">
        <v>v1.0.0</v>
      </c>
      <c r="N14" t="str">
        <v>2026-03-26</v>
      </c>
      <c r="O14" t="str">
        <v>En Desarrollo</v>
      </c>
    </row>
    <row r="15">
      <c r="A15" t="str">
        <v>D0014</v>
      </c>
      <c r="B15" t="str">
        <v>Perú</v>
      </c>
      <c r="C15" t="str">
        <v/>
      </c>
      <c r="D15" t="str">
        <v/>
      </c>
      <c r="E15" t="str">
        <v>SD</v>
      </c>
      <c r="F15" t="str">
        <v>Sales and Service</v>
      </c>
      <c r="G15" t="str">
        <v>Customer Management</v>
      </c>
      <c r="H15" t="str">
        <v>Customer Product And Service Eligibility</v>
      </c>
      <c r="I15" t="str">
        <v/>
      </c>
      <c r="J15" t="str">
        <v>REST</v>
      </c>
      <c r="K15" t="str">
        <v>APIM</v>
      </c>
      <c r="L15" t="str">
        <v/>
      </c>
      <c r="M15" t="str">
        <v>v1.0.0</v>
      </c>
      <c r="N15" t="str">
        <v>2026-03-26</v>
      </c>
      <c r="O15" t="str">
        <v>En Desarrollo</v>
      </c>
    </row>
    <row r="16">
      <c r="A16" t="str">
        <v>D0015</v>
      </c>
      <c r="B16" t="str">
        <v>Perú</v>
      </c>
      <c r="C16" t="str">
        <v/>
      </c>
      <c r="D16" t="str">
        <v/>
      </c>
      <c r="E16" t="str">
        <v>SD</v>
      </c>
      <c r="F16" t="str">
        <v>Reference Data</v>
      </c>
      <c r="G16" t="str">
        <v>Product Management</v>
      </c>
      <c r="H16" t="str">
        <v>Discount Pricing</v>
      </c>
      <c r="I16" t="str">
        <v/>
      </c>
      <c r="J16" t="str">
        <v>REST</v>
      </c>
      <c r="K16" t="str">
        <v>APIM</v>
      </c>
      <c r="L16" t="str">
        <v/>
      </c>
      <c r="M16" t="str">
        <v>v1.0.0</v>
      </c>
      <c r="N16" t="str">
        <v>2026-03-26</v>
      </c>
      <c r="O16" t="str">
        <v>Activa</v>
      </c>
    </row>
    <row r="17">
      <c r="A17" t="str">
        <v>D0016</v>
      </c>
      <c r="B17" t="str">
        <v>Perú</v>
      </c>
      <c r="C17" t="str">
        <v/>
      </c>
      <c r="D17" t="str">
        <v/>
      </c>
      <c r="E17" t="str">
        <v>SD</v>
      </c>
      <c r="F17" t="str">
        <v>Business Support</v>
      </c>
      <c r="G17" t="str">
        <v>Document Management and Archive</v>
      </c>
      <c r="H17" t="str">
        <v>Document Services</v>
      </c>
      <c r="I17" t="str">
        <v/>
      </c>
      <c r="J17" t="str">
        <v>REST</v>
      </c>
      <c r="K17" t="str">
        <v>APIM</v>
      </c>
      <c r="L17" t="str">
        <v/>
      </c>
      <c r="M17" t="str">
        <v>v1.0.0</v>
      </c>
      <c r="N17" t="str">
        <v>2026-03-26</v>
      </c>
      <c r="O17" t="str">
        <v>En Desarrollo</v>
      </c>
    </row>
    <row r="18">
      <c r="A18" t="str">
        <v>D0017</v>
      </c>
      <c r="B18" t="str">
        <v>Perú</v>
      </c>
      <c r="C18" t="str">
        <v/>
      </c>
      <c r="D18" t="str">
        <v/>
      </c>
      <c r="E18" t="str">
        <v>SD</v>
      </c>
      <c r="F18" t="str">
        <v>Operations and Execution</v>
      </c>
      <c r="G18" t="str">
        <v>Payments</v>
      </c>
      <c r="H18" t="str">
        <v>Payment Order</v>
      </c>
      <c r="I18" t="str">
        <v/>
      </c>
      <c r="J18" t="str">
        <v>REST</v>
      </c>
      <c r="K18" t="str">
        <v>APIM</v>
      </c>
      <c r="L18" t="str">
        <v/>
      </c>
      <c r="M18" t="str">
        <v>v1.0.0</v>
      </c>
      <c r="N18" t="str">
        <v>2026-03-26</v>
      </c>
      <c r="O18" t="str">
        <v>Activa</v>
      </c>
    </row>
    <row r="19">
      <c r="A19" t="str">
        <v>D0018</v>
      </c>
      <c r="B19" t="str">
        <v>Perú</v>
      </c>
      <c r="C19" t="str">
        <v/>
      </c>
      <c r="D19" t="str">
        <v/>
      </c>
      <c r="E19" t="str">
        <v>SD</v>
      </c>
      <c r="F19" t="str">
        <v>Sales and Service</v>
      </c>
      <c r="G19" t="str">
        <v>Servicing</v>
      </c>
      <c r="H19" t="str">
        <v>Servicing Order</v>
      </c>
      <c r="I19" t="str">
        <v/>
      </c>
      <c r="J19" t="str">
        <v>REST</v>
      </c>
      <c r="K19" t="str">
        <v>APIM</v>
      </c>
      <c r="L19" t="str">
        <v/>
      </c>
      <c r="M19" t="str">
        <v>v1.0.0</v>
      </c>
      <c r="N19" t="str">
        <v>2026-03-26</v>
      </c>
      <c r="O19" t="str">
        <v/>
      </c>
    </row>
    <row r="20">
      <c r="A20" t="str">
        <v>D0019</v>
      </c>
      <c r="B20" t="str">
        <v>Perú</v>
      </c>
      <c r="C20" t="str">
        <v/>
      </c>
      <c r="D20" t="str">
        <v/>
      </c>
      <c r="E20" t="str">
        <v>SD</v>
      </c>
      <c r="F20" t="str">
        <v>Operations and Execution</v>
      </c>
      <c r="G20" t="str">
        <v>Operational Services</v>
      </c>
      <c r="H20" t="str">
        <v>Disbursement</v>
      </c>
      <c r="I20" t="str">
        <v/>
      </c>
      <c r="J20" t="str">
        <v>REST</v>
      </c>
      <c r="K20" t="str">
        <v>APIM</v>
      </c>
      <c r="L20" t="str">
        <v/>
      </c>
      <c r="M20" t="str">
        <v>v1.0.0</v>
      </c>
      <c r="N20" t="str">
        <v>2026-02-23</v>
      </c>
      <c r="O20" t="str">
        <v>Activa</v>
      </c>
    </row>
    <row r="21">
      <c r="A21" t="str">
        <v>D0020</v>
      </c>
      <c r="B21" t="str">
        <v>Perú</v>
      </c>
      <c r="C21" t="str">
        <v>API SD BIAN - Product Directory</v>
      </c>
      <c r="D21" t="str">
        <v>API Service Domain BIAN - Product Directory API que expone operaciones para consultar el directorio de productos/servicios del banco y sus características asociadas; incluye Eligibility Service.</v>
      </c>
      <c r="E21" t="str">
        <v>SD</v>
      </c>
      <c r="F21" t="str">
        <v>Product Catalog</v>
      </c>
      <c r="G21" t="str">
        <v>Product Management</v>
      </c>
      <c r="H21" t="str">
        <v>Product Directory</v>
      </c>
      <c r="I21" t="str">
        <v/>
      </c>
      <c r="J21" t="str">
        <v>REST</v>
      </c>
      <c r="K21" t="str">
        <v>APIM</v>
      </c>
      <c r="L21" t="str">
        <v/>
      </c>
      <c r="M21" t="str">
        <v>v1.0.0</v>
      </c>
      <c r="N21" t="str">
        <v>2026-02-23</v>
      </c>
      <c r="O21" t="str">
        <v>Activa</v>
      </c>
    </row>
    <row r="22">
      <c r="A22" t="str">
        <v>D0021</v>
      </c>
      <c r="B22" t="str">
        <v>Perú</v>
      </c>
      <c r="C22" t="str">
        <v/>
      </c>
      <c r="D22" t="str">
        <v/>
      </c>
      <c r="E22" t="str">
        <v>SD</v>
      </c>
      <c r="F22" t="str">
        <v>Operations and Execution</v>
      </c>
      <c r="G22" t="str">
        <v>Loans and Deposits</v>
      </c>
      <c r="H22" t="str">
        <v>Savings Account</v>
      </c>
      <c r="I22" t="str">
        <v/>
      </c>
      <c r="J22" t="str">
        <v>REST</v>
      </c>
      <c r="K22" t="str">
        <v>APIM</v>
      </c>
      <c r="L22" t="str">
        <v/>
      </c>
      <c r="M22" t="str">
        <v>v1.0.0</v>
      </c>
      <c r="N22" t="str">
        <v>2026-02-23</v>
      </c>
      <c r="O22" t="str">
        <v>Activa</v>
      </c>
    </row>
    <row r="23">
      <c r="A23" t="str">
        <v>D0022</v>
      </c>
      <c r="B23" t="str">
        <v>Perú</v>
      </c>
      <c r="C23" t="str">
        <v/>
      </c>
      <c r="D23" t="str">
        <v/>
      </c>
      <c r="E23" t="str">
        <v>SD</v>
      </c>
      <c r="F23" t="str">
        <v>IT Management</v>
      </c>
      <c r="G23" t="str">
        <v>IT Management</v>
      </c>
      <c r="H23" t="str">
        <v>Systems Operations</v>
      </c>
      <c r="I23" t="str">
        <v/>
      </c>
      <c r="J23" t="str">
        <v>REST</v>
      </c>
      <c r="K23" t="str">
        <v>APIM</v>
      </c>
      <c r="L23" t="str">
        <v/>
      </c>
      <c r="M23" t="str">
        <v>v1.0.0</v>
      </c>
      <c r="N23" t="str">
        <v>2026-03-06</v>
      </c>
      <c r="O23" t="str">
        <v>En Desarrollo</v>
      </c>
    </row>
    <row r="24">
      <c r="A24" t="str">
        <v>D0023</v>
      </c>
      <c r="B24" t="str">
        <v>Perú</v>
      </c>
      <c r="C24" t="str">
        <v/>
      </c>
      <c r="D24" t="str">
        <v/>
      </c>
      <c r="E24" t="str">
        <v>SD</v>
      </c>
      <c r="F24" t="str">
        <v>Loans and Deposits</v>
      </c>
      <c r="G24" t="str">
        <v>Loans and Deposits</v>
      </c>
      <c r="H24" t="str">
        <v>Current Account</v>
      </c>
      <c r="I24" t="str">
        <v/>
      </c>
      <c r="J24" t="str">
        <v>REST</v>
      </c>
      <c r="K24" t="str">
        <v>APIM</v>
      </c>
      <c r="L24" t="str">
        <v/>
      </c>
      <c r="M24" t="str">
        <v>v1.0.0</v>
      </c>
      <c r="N24" t="str">
        <v>2026-03-06</v>
      </c>
      <c r="O24" t="str">
        <v>En Desarrollo</v>
      </c>
    </row>
    <row r="25">
      <c r="A25" t="str">
        <v>D0024</v>
      </c>
      <c r="B25" t="str">
        <v>Perú</v>
      </c>
      <c r="C25" t="str">
        <v/>
      </c>
      <c r="D25" t="str">
        <v/>
      </c>
      <c r="E25" t="str">
        <v>SD</v>
      </c>
      <c r="F25" t="str">
        <v>Cross Channel</v>
      </c>
      <c r="G25" t="str">
        <v>Cross Channel</v>
      </c>
      <c r="H25" t="str">
        <v>Party Authentication</v>
      </c>
      <c r="I25" t="str">
        <v/>
      </c>
      <c r="J25" t="str">
        <v>REST</v>
      </c>
      <c r="K25" t="str">
        <v>APIM</v>
      </c>
      <c r="L25" t="str">
        <v/>
      </c>
      <c r="M25" t="str">
        <v>v1.0.0</v>
      </c>
      <c r="N25" t="str">
        <v>2026-03-06</v>
      </c>
      <c r="O25" t="str">
        <v>Activa</v>
      </c>
    </row>
    <row r="26">
      <c r="A26" t="str">
        <v>D0025</v>
      </c>
      <c r="B26" t="str">
        <v>Perú</v>
      </c>
      <c r="C26" t="str">
        <v/>
      </c>
      <c r="D26" t="str">
        <v/>
      </c>
      <c r="E26" t="str">
        <v>SD</v>
      </c>
      <c r="F26" t="str">
        <v>Customer Management</v>
      </c>
      <c r="G26" t="str">
        <v>Customer Management</v>
      </c>
      <c r="H26" t="str">
        <v>Customer Access Entitlement</v>
      </c>
      <c r="I26" t="str">
        <v/>
      </c>
      <c r="J26" t="str">
        <v>REST</v>
      </c>
      <c r="K26" t="str">
        <v>APIM</v>
      </c>
      <c r="L26" t="str">
        <v/>
      </c>
      <c r="M26" t="str">
        <v>v1.0.0</v>
      </c>
      <c r="N26" t="str">
        <v>2026-03-06</v>
      </c>
      <c r="O26" t="str">
        <v>En Desarrollo</v>
      </c>
    </row>
    <row r="27">
      <c r="A27" t="str">
        <v>D0026</v>
      </c>
      <c r="B27" t="str">
        <v>Perú</v>
      </c>
      <c r="C27" t="str">
        <v/>
      </c>
      <c r="D27" t="str">
        <v/>
      </c>
      <c r="E27" t="str">
        <v>SD</v>
      </c>
      <c r="F27" t="str">
        <v>Operational Services</v>
      </c>
      <c r="G27" t="str">
        <v>Operational Services</v>
      </c>
      <c r="H27" t="str">
        <v>Issued Device Administration</v>
      </c>
      <c r="I27" t="str">
        <v/>
      </c>
      <c r="J27" t="str">
        <v>REST</v>
      </c>
      <c r="K27" t="str">
        <v>APIM</v>
      </c>
      <c r="L27" t="str">
        <v/>
      </c>
      <c r="M27" t="str">
        <v>v1.0.0</v>
      </c>
      <c r="N27" t="str">
        <v>2026-03-06</v>
      </c>
      <c r="O27" t="str">
        <v>En Desarrollo</v>
      </c>
    </row>
    <row r="28">
      <c r="A28" t="str">
        <v>D0027</v>
      </c>
      <c r="B28" t="str">
        <v>Perú</v>
      </c>
      <c r="C28" t="str">
        <v/>
      </c>
      <c r="D28" t="str">
        <v/>
      </c>
      <c r="E28" t="str">
        <v>SD</v>
      </c>
      <c r="F28" t="str">
        <v>Document Management and Archive</v>
      </c>
      <c r="G28" t="str">
        <v>Document Management and Archive</v>
      </c>
      <c r="H28" t="str">
        <v>Correspondence</v>
      </c>
      <c r="I28" t="str">
        <v/>
      </c>
      <c r="J28" t="str">
        <v>REST</v>
      </c>
      <c r="K28" t="str">
        <v>APIM</v>
      </c>
      <c r="L28" t="str">
        <v/>
      </c>
      <c r="M28" t="str">
        <v>v1.0.0</v>
      </c>
      <c r="N28" t="str">
        <v>2026-03-06</v>
      </c>
      <c r="O28" t="str">
        <v>En Desarrollo</v>
      </c>
    </row>
    <row r="29">
      <c r="A29" t="str">
        <v>D0028</v>
      </c>
      <c r="B29" t="str">
        <v>Perú</v>
      </c>
      <c r="C29" t="str">
        <v/>
      </c>
      <c r="D29" t="str">
        <v/>
      </c>
      <c r="E29" t="str">
        <v>SD</v>
      </c>
      <c r="F29" t="str">
        <v>Payments</v>
      </c>
      <c r="G29" t="str">
        <v>Servicing</v>
      </c>
      <c r="H29" t="str">
        <v>Payment Initiation</v>
      </c>
      <c r="I29" t="str">
        <v/>
      </c>
      <c r="J29" t="str">
        <v>REST</v>
      </c>
      <c r="K29" t="str">
        <v>APIM</v>
      </c>
      <c r="L29" t="str">
        <v/>
      </c>
      <c r="M29" t="str">
        <v>v1.0.0</v>
      </c>
      <c r="N29" t="str">
        <v>2026-03-06</v>
      </c>
      <c r="O29" t="str">
        <v>Activa</v>
      </c>
    </row>
    <row r="30">
      <c r="A30" t="str">
        <v>D0029</v>
      </c>
      <c r="B30" t="str">
        <v>Perú</v>
      </c>
      <c r="C30" t="str">
        <v/>
      </c>
      <c r="D30" t="str">
        <v/>
      </c>
      <c r="E30" t="str">
        <v>SD</v>
      </c>
      <c r="F30" t="str">
        <v>Payments</v>
      </c>
      <c r="G30" t="str">
        <v>Payments</v>
      </c>
      <c r="H30" t="str">
        <v>Payment Execution</v>
      </c>
      <c r="I30" t="str">
        <v/>
      </c>
      <c r="J30" t="str">
        <v>REST</v>
      </c>
      <c r="K30" t="str">
        <v>APIM</v>
      </c>
      <c r="L30" t="str">
        <v/>
      </c>
      <c r="M30" t="str">
        <v>v1.0.0</v>
      </c>
      <c r="N30" t="str">
        <v>2026-03-06</v>
      </c>
      <c r="O30" t="str">
        <v>Activa</v>
      </c>
    </row>
    <row r="31">
      <c r="A31" t="str">
        <v>D0030</v>
      </c>
      <c r="B31" t="str">
        <v>Perú</v>
      </c>
      <c r="C31" t="str">
        <v/>
      </c>
      <c r="D31" t="str">
        <v/>
      </c>
      <c r="E31" t="str">
        <v>SD</v>
      </c>
      <c r="F31" t="str">
        <v>Payments</v>
      </c>
      <c r="G31" t="str">
        <v>Payments</v>
      </c>
      <c r="H31" t="str">
        <v>Payment Rail Operations</v>
      </c>
      <c r="I31" t="str">
        <v/>
      </c>
      <c r="J31" t="str">
        <v>REST</v>
      </c>
      <c r="K31" t="str">
        <v>APIM</v>
      </c>
      <c r="L31" t="str">
        <v/>
      </c>
      <c r="M31" t="str">
        <v>v1.0.0</v>
      </c>
      <c r="N31" t="str">
        <v>2026-03-06</v>
      </c>
      <c r="O31" t="str">
        <v>En Desarrollo</v>
      </c>
    </row>
    <row r="32">
      <c r="A32" t="str">
        <v>D0031</v>
      </c>
      <c r="B32" t="str">
        <v>Perú</v>
      </c>
      <c r="C32" t="str">
        <v/>
      </c>
      <c r="D32" t="str">
        <v/>
      </c>
      <c r="E32" t="str">
        <v>SD</v>
      </c>
      <c r="F32" t="str">
        <v>Payments</v>
      </c>
      <c r="G32" t="str">
        <v>Account Management</v>
      </c>
      <c r="H32" t="str">
        <v>Position Keeping</v>
      </c>
      <c r="I32" t="str">
        <v/>
      </c>
      <c r="J32" t="str">
        <v>REST</v>
      </c>
      <c r="K32" t="str">
        <v>APIM</v>
      </c>
      <c r="L32" t="str">
        <v/>
      </c>
      <c r="M32" t="str">
        <v>v1.0.0</v>
      </c>
      <c r="N32" t="str">
        <v>2026-03-06</v>
      </c>
      <c r="O32" t="str">
        <v>En Desarrollo</v>
      </c>
    </row>
    <row r="33">
      <c r="A33" t="str">
        <v>D0032</v>
      </c>
      <c r="B33" t="str">
        <v>Perú</v>
      </c>
      <c r="C33" t="str">
        <v/>
      </c>
      <c r="D33" t="str">
        <v/>
      </c>
      <c r="E33" t="str">
        <v>SD</v>
      </c>
      <c r="F33" t="str">
        <v>Risk</v>
      </c>
      <c r="G33" t="str">
        <v>Account Management</v>
      </c>
      <c r="H33" t="str">
        <v>Fraud Evaluation</v>
      </c>
      <c r="I33" t="str">
        <v/>
      </c>
      <c r="J33" t="str">
        <v>REST</v>
      </c>
      <c r="K33" t="str">
        <v>APIM</v>
      </c>
      <c r="L33" t="str">
        <v/>
      </c>
      <c r="M33" t="str">
        <v>v1.0.0</v>
      </c>
      <c r="N33" t="str">
        <v>2026-03-06</v>
      </c>
      <c r="O33" t="str">
        <v>En Desarrollo</v>
      </c>
    </row>
    <row r="34">
      <c r="A34" t="str">
        <v>D0033</v>
      </c>
      <c r="B34" t="str">
        <v>Perú</v>
      </c>
      <c r="C34" t="str">
        <v/>
      </c>
      <c r="D34" t="str">
        <v/>
      </c>
      <c r="E34" t="str">
        <v>SD</v>
      </c>
      <c r="F34" t="str">
        <v>Payments</v>
      </c>
      <c r="G34" t="str">
        <v>Cross Channel</v>
      </c>
      <c r="H34" t="str">
        <v>Transaction Authorization</v>
      </c>
      <c r="I34" t="str">
        <v/>
      </c>
      <c r="J34" t="str">
        <v>REST</v>
      </c>
      <c r="K34" t="str">
        <v>APIM</v>
      </c>
      <c r="L34" t="str">
        <v/>
      </c>
      <c r="M34" t="str">
        <v>v1.0.0</v>
      </c>
      <c r="N34" t="str">
        <v>2026-03-06</v>
      </c>
      <c r="O34" t="str">
        <v>En Desarrollo</v>
      </c>
    </row>
    <row r="35">
      <c r="A35" t="str">
        <v>D0034</v>
      </c>
      <c r="B35" t="str">
        <v>Perú</v>
      </c>
      <c r="C35" t="str">
        <v/>
      </c>
      <c r="D35" t="str">
        <v/>
      </c>
      <c r="E35" t="str">
        <v>SD</v>
      </c>
      <c r="F35" t="str">
        <v>Operations and Execution</v>
      </c>
      <c r="G35" t="str">
        <v>Account Management</v>
      </c>
      <c r="H35" t="str">
        <v>Fraud Diagnosis</v>
      </c>
      <c r="I35" t="str">
        <v/>
      </c>
      <c r="J35" t="str">
        <v>REST</v>
      </c>
      <c r="K35" t="str">
        <v>APIM</v>
      </c>
      <c r="L35" t="str">
        <v/>
      </c>
      <c r="M35" t="str">
        <v>v1.0.0</v>
      </c>
      <c r="N35" t="str">
        <v>2026-02-23</v>
      </c>
      <c r="O35" t="str">
        <v>En Desarrollo</v>
      </c>
    </row>
    <row r="36">
      <c r="A36" t="str">
        <v>D0035</v>
      </c>
      <c r="B36" t="str">
        <v>Perú</v>
      </c>
      <c r="C36" t="str">
        <v/>
      </c>
      <c r="D36" t="str">
        <v/>
      </c>
      <c r="E36" t="str">
        <v>SD</v>
      </c>
      <c r="F36" t="str">
        <v>Operations and Execution</v>
      </c>
      <c r="G36" t="str">
        <v>Operational Services</v>
      </c>
      <c r="H36" t="str">
        <v>Channel Activity History</v>
      </c>
      <c r="I36" t="str">
        <v/>
      </c>
      <c r="J36" t="str">
        <v>REST</v>
      </c>
      <c r="K36" t="str">
        <v>APIM</v>
      </c>
      <c r="L36" t="str">
        <v/>
      </c>
      <c r="M36" t="str">
        <v>v1.0.0</v>
      </c>
      <c r="N36" t="str">
        <v>2026-02-23</v>
      </c>
      <c r="O36" t="str">
        <v>En Desarrollo</v>
      </c>
    </row>
    <row r="37">
      <c r="A37" t="str">
        <v>D0036</v>
      </c>
      <c r="B37" t="str">
        <v>Perú</v>
      </c>
      <c r="C37" t="str">
        <v/>
      </c>
      <c r="D37" t="str">
        <v/>
      </c>
      <c r="E37" t="str">
        <v>SD</v>
      </c>
      <c r="F37" t="str">
        <v>Sales and Service</v>
      </c>
      <c r="G37" t="str">
        <v>Cross Channel</v>
      </c>
      <c r="H37" t="str">
        <v>Contact Handler</v>
      </c>
      <c r="I37" t="str">
        <v/>
      </c>
      <c r="J37" t="str">
        <v>REST</v>
      </c>
      <c r="K37" t="str">
        <v>APIM</v>
      </c>
      <c r="L37" t="str">
        <v/>
      </c>
      <c r="M37" t="str">
        <v>v1.0.0</v>
      </c>
      <c r="N37" t="str">
        <v>2026-02-23</v>
      </c>
      <c r="O37" t="str">
        <v>En Desarrollo</v>
      </c>
    </row>
    <row r="38">
      <c r="A38" t="str">
        <v>D0037</v>
      </c>
      <c r="B38" t="str">
        <v>Perú</v>
      </c>
      <c r="C38" t="str">
        <v/>
      </c>
      <c r="D38" t="str">
        <v/>
      </c>
      <c r="E38" t="str">
        <v>SD</v>
      </c>
      <c r="F38" t="str">
        <v>Sales and Service</v>
      </c>
      <c r="G38" t="str">
        <v>Cross Channel</v>
      </c>
      <c r="H38" t="str">
        <v>Contact Routing</v>
      </c>
      <c r="I38" t="str">
        <v/>
      </c>
      <c r="J38" t="str">
        <v>REST</v>
      </c>
      <c r="K38" t="str">
        <v>APIM</v>
      </c>
      <c r="L38" t="str">
        <v/>
      </c>
      <c r="M38" t="str">
        <v>v1.0.0</v>
      </c>
      <c r="N38" t="str">
        <v>2026-02-23</v>
      </c>
      <c r="O38" t="str">
        <v>En Desarrollo</v>
      </c>
    </row>
    <row r="39">
      <c r="A39" t="str">
        <v>D0038</v>
      </c>
      <c r="B39" t="str">
        <v>Perú</v>
      </c>
      <c r="C39" t="str">
        <v/>
      </c>
      <c r="D39" t="str">
        <v/>
      </c>
      <c r="E39" t="str">
        <v>PROC</v>
      </c>
      <c r="F39" t="str">
        <v>No encontrado</v>
      </c>
      <c r="G39" t="str">
        <v>No encontrado</v>
      </c>
      <c r="H39" t="str">
        <v>Credit Line Disburse</v>
      </c>
      <c r="I39" t="str">
        <v/>
      </c>
      <c r="J39" t="str">
        <v>REST</v>
      </c>
      <c r="K39" t="str">
        <v>APIM</v>
      </c>
      <c r="L39" t="str">
        <v/>
      </c>
      <c r="M39" t="str">
        <v>v1.0.0</v>
      </c>
      <c r="N39" t="str">
        <v>2026-02-23</v>
      </c>
      <c r="O39" t="str">
        <v/>
      </c>
    </row>
    <row r="40">
      <c r="A40" t="str">
        <v>D0039</v>
      </c>
      <c r="B40" t="str">
        <v>Perú</v>
      </c>
      <c r="C40" t="str">
        <v/>
      </c>
      <c r="D40" t="str">
        <v/>
      </c>
      <c r="E40" t="str">
        <v>SD</v>
      </c>
      <c r="F40" t="str">
        <v>Sales and Service</v>
      </c>
      <c r="G40" t="str">
        <v>Sales</v>
      </c>
      <c r="H40" t="str">
        <v>Lead and Opportunity Management</v>
      </c>
      <c r="I40" t="str">
        <v/>
      </c>
      <c r="J40" t="str">
        <v>REST</v>
      </c>
      <c r="K40" t="str">
        <v>APIM</v>
      </c>
      <c r="L40" t="str">
        <v/>
      </c>
      <c r="M40" t="str">
        <v>v1.0.0</v>
      </c>
      <c r="N40" t="str">
        <v>2026-02-23</v>
      </c>
      <c r="O40" t="str">
        <v>Activa</v>
      </c>
    </row>
    <row r="41">
      <c r="A41" t="str">
        <v>D0040</v>
      </c>
      <c r="B41" t="str">
        <v>Perú</v>
      </c>
      <c r="C41" t="str">
        <v/>
      </c>
      <c r="D41" t="str">
        <v/>
      </c>
      <c r="E41" t="str">
        <v>SD</v>
      </c>
      <c r="F41" t="str">
        <v>Operations and Execution</v>
      </c>
      <c r="G41" t="str">
        <v>Wholesale Trading</v>
      </c>
      <c r="H41" t="str">
        <v>Credit Risk Operations</v>
      </c>
      <c r="I41" t="str">
        <v/>
      </c>
      <c r="J41" t="str">
        <v>REST</v>
      </c>
      <c r="K41" t="str">
        <v>APIM</v>
      </c>
      <c r="L41" t="str">
        <v/>
      </c>
      <c r="M41" t="str">
        <v>v1.0.0</v>
      </c>
      <c r="N41" t="str">
        <v>2026-02-23</v>
      </c>
      <c r="O41" t="str">
        <v/>
      </c>
    </row>
    <row r="42">
      <c r="A42" t="str">
        <v>D0041</v>
      </c>
      <c r="B42" t="str">
        <v>Perú</v>
      </c>
      <c r="C42" t="str">
        <v/>
      </c>
      <c r="D42" t="str">
        <v/>
      </c>
      <c r="E42" t="str">
        <v>SD</v>
      </c>
      <c r="F42" t="str">
        <v>Operations and Execution</v>
      </c>
      <c r="G42" t="str">
        <v>Account Management</v>
      </c>
      <c r="H42" t="str">
        <v>Customer Position</v>
      </c>
      <c r="I42" t="str">
        <v/>
      </c>
      <c r="J42" t="str">
        <v>REST</v>
      </c>
      <c r="K42" t="str">
        <v>APIM</v>
      </c>
      <c r="L42" t="str">
        <v/>
      </c>
      <c r="M42" t="str">
        <v>v1.0.0</v>
      </c>
      <c r="N42" t="str">
        <v>2026-02-23</v>
      </c>
      <c r="O42" t="str">
        <v/>
      </c>
    </row>
    <row r="43">
      <c r="A43" t="str">
        <v>D0042</v>
      </c>
      <c r="B43" t="str">
        <v>Perú</v>
      </c>
      <c r="C43" t="str">
        <v/>
      </c>
      <c r="D43" t="str">
        <v/>
      </c>
      <c r="E43" t="str">
        <v>SD</v>
      </c>
      <c r="F43" t="str">
        <v>Sales and Service</v>
      </c>
      <c r="G43" t="str">
        <v>Customer Management</v>
      </c>
      <c r="H43" t="str">
        <v>Customer Relationship Management</v>
      </c>
      <c r="I43" t="str">
        <v/>
      </c>
      <c r="J43" t="str">
        <v>REST</v>
      </c>
      <c r="K43" t="str">
        <v>APIM</v>
      </c>
      <c r="L43" t="str">
        <v/>
      </c>
      <c r="M43" t="str">
        <v>v1.0.0</v>
      </c>
      <c r="N43" t="str">
        <v>2026-02-23</v>
      </c>
      <c r="O43" t="str">
        <v/>
      </c>
    </row>
    <row r="44">
      <c r="A44" t="str">
        <v>D0043</v>
      </c>
      <c r="B44" t="str">
        <v>Perú</v>
      </c>
      <c r="C44" t="str">
        <v/>
      </c>
      <c r="D44" t="str">
        <v/>
      </c>
      <c r="E44" t="str">
        <v>SD</v>
      </c>
      <c r="F44" t="str">
        <v>Sales and Service</v>
      </c>
      <c r="G44" t="str">
        <v>Customer Management</v>
      </c>
      <c r="H44" t="str">
        <v>Sales Product Agreement</v>
      </c>
      <c r="I44" t="str">
        <v/>
      </c>
      <c r="J44" t="str">
        <v>REST</v>
      </c>
      <c r="K44" t="str">
        <v>APIM</v>
      </c>
      <c r="L44" t="str">
        <v/>
      </c>
      <c r="M44" t="str">
        <v>v1.0.0</v>
      </c>
      <c r="N44" t="str">
        <v>2026-02-23</v>
      </c>
      <c r="O44" t="str">
        <v/>
      </c>
    </row>
    <row r="45">
      <c r="A45" t="str">
        <v>D0044</v>
      </c>
      <c r="B45" t="str">
        <v>Perú</v>
      </c>
      <c r="C45" t="str">
        <v/>
      </c>
      <c r="D45" t="str">
        <v/>
      </c>
      <c r="E45" t="str">
        <v>SD</v>
      </c>
      <c r="F45" t="str">
        <v>Operations and Execution</v>
      </c>
      <c r="G45" t="str">
        <v>Payments</v>
      </c>
      <c r="H45" t="str">
        <v>ACH Operations</v>
      </c>
      <c r="I45" t="str">
        <v/>
      </c>
      <c r="J45" t="str">
        <v>REST</v>
      </c>
      <c r="K45" t="str">
        <v>APIM</v>
      </c>
      <c r="L45" t="str">
        <v/>
      </c>
      <c r="M45" t="str">
        <v>v1.0.0</v>
      </c>
      <c r="N45" t="str">
        <v>2026-02-23</v>
      </c>
      <c r="O45" t="str">
        <v>Activa</v>
      </c>
    </row>
    <row r="46">
      <c r="A46" t="str">
        <v>D0045</v>
      </c>
      <c r="B46" t="str">
        <v>Perú</v>
      </c>
      <c r="C46" t="str">
        <v/>
      </c>
      <c r="D46" t="str">
        <v/>
      </c>
      <c r="E46" t="str">
        <v>PROC</v>
      </c>
      <c r="F46" t="str">
        <v/>
      </c>
      <c r="G46" t="str">
        <v/>
      </c>
      <c r="H46" t="str">
        <v>Bill Payments</v>
      </c>
      <c r="I46" t="str">
        <v/>
      </c>
      <c r="J46" t="str">
        <v>REST</v>
      </c>
      <c r="K46" t="str">
        <v>APIM</v>
      </c>
      <c r="L46" t="str">
        <v/>
      </c>
      <c r="M46" t="str">
        <v>v1.0.0</v>
      </c>
      <c r="N46" t="str">
        <v>2026-02-23</v>
      </c>
      <c r="O46" t="str">
        <v>Activa</v>
      </c>
    </row>
    <row r="47">
      <c r="A47" t="str">
        <v>D0046</v>
      </c>
      <c r="B47" t="str">
        <v>Perú</v>
      </c>
      <c r="C47" t="str">
        <v/>
      </c>
      <c r="D47" t="str">
        <v/>
      </c>
      <c r="E47" t="str">
        <v>PROC</v>
      </c>
      <c r="F47" t="str">
        <v/>
      </c>
      <c r="G47" t="str">
        <v/>
      </c>
      <c r="H47" t="str">
        <v>Credit Line Disburse</v>
      </c>
      <c r="I47" t="str">
        <v/>
      </c>
      <c r="J47" t="str">
        <v>REST</v>
      </c>
      <c r="K47" t="str">
        <v>APIM</v>
      </c>
      <c r="L47" t="str">
        <v/>
      </c>
      <c r="M47" t="str">
        <v>v1.0.0</v>
      </c>
      <c r="N47" t="str">
        <v>2026-02-23</v>
      </c>
      <c r="O47" t="str">
        <v>Activa</v>
      </c>
    </row>
    <row r="48">
      <c r="A48" t="str">
        <v>D0047</v>
      </c>
      <c r="B48" t="str">
        <v>Perú</v>
      </c>
      <c r="C48" t="str">
        <v/>
      </c>
      <c r="D48" t="str">
        <v/>
      </c>
      <c r="E48" t="str">
        <v>SD</v>
      </c>
      <c r="F48" t="str">
        <v>Operations and Execution</v>
      </c>
      <c r="G48" t="str">
        <v>Operational Services</v>
      </c>
      <c r="H48" t="str">
        <v>Customer Billing</v>
      </c>
      <c r="I48" t="str">
        <v/>
      </c>
      <c r="J48" t="str">
        <v>REST</v>
      </c>
      <c r="K48" t="str">
        <v>APIM</v>
      </c>
      <c r="L48" t="str">
        <v/>
      </c>
      <c r="M48" t="str">
        <v>v1.0.0</v>
      </c>
      <c r="N48" t="str">
        <v>2026-02-23</v>
      </c>
      <c r="O48" t="str">
        <v>Activa</v>
      </c>
    </row>
    <row r="49">
      <c r="A49" t="str">
        <v>D0048</v>
      </c>
      <c r="B49" t="str">
        <v>Perú</v>
      </c>
      <c r="C49" t="str">
        <v/>
      </c>
      <c r="D49" t="str">
        <v/>
      </c>
      <c r="E49" t="str">
        <v>PROC</v>
      </c>
      <c r="F49" t="str">
        <v/>
      </c>
      <c r="G49" t="str">
        <v/>
      </c>
      <c r="H49" t="str">
        <v>Immediate Transfers</v>
      </c>
      <c r="I49" t="str">
        <v/>
      </c>
      <c r="J49" t="str">
        <v>REST</v>
      </c>
      <c r="K49" t="str">
        <v>APIM</v>
      </c>
      <c r="L49" t="str">
        <v/>
      </c>
      <c r="M49" t="str">
        <v>v1.0.0</v>
      </c>
      <c r="N49" t="str">
        <v>2026-02-23</v>
      </c>
      <c r="O49" t="str">
        <v>Activa</v>
      </c>
    </row>
    <row r="50">
      <c r="A50" t="str">
        <v>D0049</v>
      </c>
      <c r="B50" t="str">
        <v>Perú</v>
      </c>
      <c r="C50" t="str">
        <v/>
      </c>
      <c r="D50" t="str">
        <v/>
      </c>
      <c r="E50" t="str">
        <v>PROC</v>
      </c>
      <c r="F50" t="str">
        <v/>
      </c>
      <c r="G50" t="str">
        <v/>
      </c>
      <c r="H50" t="str">
        <v>Loan Repayment</v>
      </c>
      <c r="I50" t="str">
        <v/>
      </c>
      <c r="J50" t="str">
        <v>REST</v>
      </c>
      <c r="K50" t="str">
        <v>APIM</v>
      </c>
      <c r="L50" t="str">
        <v/>
      </c>
      <c r="M50" t="str">
        <v>v1.0.0</v>
      </c>
      <c r="N50" t="str">
        <v>2026-02-23</v>
      </c>
      <c r="O50" t="str">
        <v>Activa</v>
      </c>
    </row>
    <row r="51">
      <c r="A51" t="str">
        <v>D0050</v>
      </c>
      <c r="B51" t="str">
        <v>Perú</v>
      </c>
      <c r="C51" t="str">
        <v/>
      </c>
      <c r="D51" t="str">
        <v/>
      </c>
      <c r="E51" t="str">
        <v>PROC</v>
      </c>
      <c r="F51" t="str">
        <v/>
      </c>
      <c r="G51" t="str">
        <v/>
      </c>
      <c r="H51" t="str">
        <v>Repayment Simulations</v>
      </c>
      <c r="I51" t="str">
        <v/>
      </c>
      <c r="J51" t="str">
        <v>REST</v>
      </c>
      <c r="K51" t="str">
        <v>APIM</v>
      </c>
      <c r="L51" t="str">
        <v/>
      </c>
      <c r="M51" t="str">
        <v>v1.0.0</v>
      </c>
      <c r="N51" t="str">
        <v>2026-02-23</v>
      </c>
      <c r="O51" t="str">
        <v>Activa</v>
      </c>
    </row>
    <row r="52">
      <c r="A52" t="str">
        <v>D0051</v>
      </c>
      <c r="B52" t="str">
        <v>Colombia</v>
      </c>
      <c r="C52" t="str">
        <v/>
      </c>
      <c r="D52" t="str">
        <v/>
      </c>
      <c r="E52" t="str">
        <v>SD</v>
      </c>
      <c r="F52" t="str">
        <v/>
      </c>
      <c r="G52" t="str">
        <v>Customer Management</v>
      </c>
      <c r="H52" t="str">
        <v>Customer Access Entitlement</v>
      </c>
      <c r="I52" t="str">
        <v/>
      </c>
      <c r="J52" t="str">
        <v>REST</v>
      </c>
      <c r="K52" t="str">
        <v>APIM</v>
      </c>
      <c r="L52" t="str">
        <v/>
      </c>
      <c r="M52" t="str">
        <v>v1.0.0</v>
      </c>
      <c r="N52" t="str">
        <v>2026-02-24</v>
      </c>
      <c r="O52" t="str">
        <v/>
      </c>
    </row>
    <row r="53">
      <c r="A53" t="str">
        <v>D0052</v>
      </c>
      <c r="B53" t="str">
        <v>Colombia</v>
      </c>
      <c r="C53" t="str">
        <v/>
      </c>
      <c r="D53" t="str">
        <v/>
      </c>
      <c r="E53" t="str">
        <v>SD</v>
      </c>
      <c r="F53" t="str">
        <v/>
      </c>
      <c r="G53" t="str">
        <v>Sales</v>
      </c>
      <c r="H53" t="str">
        <v>Party Lifecycle Management</v>
      </c>
      <c r="I53" t="str">
        <v/>
      </c>
      <c r="J53" t="str">
        <v>REST</v>
      </c>
      <c r="K53" t="str">
        <v>APIM</v>
      </c>
      <c r="L53" t="str">
        <v/>
      </c>
      <c r="M53" t="str">
        <v>v1.0.0</v>
      </c>
      <c r="N53" t="str">
        <v>2026-02-24</v>
      </c>
      <c r="O53" t="str">
        <v/>
      </c>
    </row>
    <row r="54">
      <c r="A54" t="str">
        <v>D0053</v>
      </c>
      <c r="B54" t="str">
        <v>Colombia</v>
      </c>
      <c r="C54" t="str">
        <v/>
      </c>
      <c r="D54" t="str">
        <v/>
      </c>
      <c r="E54" t="str">
        <v>SD</v>
      </c>
      <c r="F54" t="str">
        <v/>
      </c>
      <c r="G54" t="str">
        <v>Cross Channel</v>
      </c>
      <c r="H54" t="str">
        <v>Party Authentication</v>
      </c>
      <c r="I54" t="str">
        <v/>
      </c>
      <c r="J54" t="str">
        <v>REST</v>
      </c>
      <c r="K54" t="str">
        <v>APIM</v>
      </c>
      <c r="L54" t="str">
        <v/>
      </c>
      <c r="M54" t="str">
        <v>v1.0.0</v>
      </c>
      <c r="N54" t="str">
        <v>2026-02-24</v>
      </c>
      <c r="O54" t="str">
        <v/>
      </c>
    </row>
    <row r="55">
      <c r="A55" t="str">
        <v>D0054</v>
      </c>
      <c r="B55" t="str">
        <v>Colombia</v>
      </c>
      <c r="C55" t="str">
        <v/>
      </c>
      <c r="D55" t="str">
        <v/>
      </c>
      <c r="E55" t="str">
        <v>SD</v>
      </c>
      <c r="F55" t="str">
        <v/>
      </c>
      <c r="G55" t="str">
        <v>Customer Management</v>
      </c>
      <c r="H55" t="str">
        <v>Party Reference Data Directory</v>
      </c>
      <c r="I55" t="str">
        <v/>
      </c>
      <c r="J55" t="str">
        <v>REST</v>
      </c>
      <c r="K55" t="str">
        <v>APIM</v>
      </c>
      <c r="L55" t="str">
        <v/>
      </c>
      <c r="M55" t="str">
        <v>v1.0.0</v>
      </c>
      <c r="N55" t="str">
        <v>2026-02-24</v>
      </c>
      <c r="O55" t="str">
        <v>En Desarrollo</v>
      </c>
    </row>
    <row r="56">
      <c r="A56" t="str">
        <v>D0055</v>
      </c>
      <c r="B56" t="str">
        <v>Colombia</v>
      </c>
      <c r="C56" t="str">
        <v/>
      </c>
      <c r="D56" t="str">
        <v/>
      </c>
      <c r="E56" t="str">
        <v>SD</v>
      </c>
      <c r="F56" t="str">
        <v/>
      </c>
      <c r="G56" t="str">
        <v>Loans and Deposits</v>
      </c>
      <c r="H56" t="str">
        <v>Loan</v>
      </c>
      <c r="I56" t="str">
        <v/>
      </c>
      <c r="J56" t="str">
        <v>REST</v>
      </c>
      <c r="K56" t="str">
        <v>APIM</v>
      </c>
      <c r="L56" t="str">
        <v/>
      </c>
      <c r="M56" t="str">
        <v>v1.0.0</v>
      </c>
      <c r="N56" t="str">
        <v>2026-02-24</v>
      </c>
      <c r="O56" t="str">
        <v>En Desarrollo</v>
      </c>
    </row>
    <row r="57">
      <c r="A57" t="str">
        <v>D0056</v>
      </c>
      <c r="B57" t="str">
        <v>Colombia</v>
      </c>
      <c r="C57" t="str">
        <v/>
      </c>
      <c r="D57" t="str">
        <v/>
      </c>
      <c r="E57" t="str">
        <v>SD</v>
      </c>
      <c r="F57" t="str">
        <v/>
      </c>
      <c r="G57" t="str">
        <v>Loans and Deposits</v>
      </c>
      <c r="H57" t="str">
        <v>Savings Account</v>
      </c>
      <c r="I57" t="str">
        <v/>
      </c>
      <c r="J57" t="str">
        <v>REST</v>
      </c>
      <c r="K57" t="str">
        <v>APIM</v>
      </c>
      <c r="L57" t="str">
        <v/>
      </c>
      <c r="M57" t="str">
        <v>v1.0.0</v>
      </c>
      <c r="N57" t="str">
        <v>2026-02-24</v>
      </c>
      <c r="O57" t="str">
        <v>En Desarrollo</v>
      </c>
    </row>
    <row r="58">
      <c r="A58" t="str">
        <v>D0057</v>
      </c>
      <c r="B58" t="str">
        <v>Colombia</v>
      </c>
      <c r="C58" t="str">
        <v/>
      </c>
      <c r="D58" t="str">
        <v/>
      </c>
      <c r="E58" t="str">
        <v>SD</v>
      </c>
      <c r="F58" t="str">
        <v/>
      </c>
      <c r="G58" t="str">
        <v>Loans and Deposits</v>
      </c>
      <c r="H58" t="str">
        <v>Term Deposit</v>
      </c>
      <c r="I58" t="str">
        <v/>
      </c>
      <c r="J58" t="str">
        <v>REST</v>
      </c>
      <c r="K58" t="str">
        <v>APIM</v>
      </c>
      <c r="L58" t="str">
        <v/>
      </c>
      <c r="M58" t="str">
        <v>v1.0.0</v>
      </c>
      <c r="N58" t="str">
        <v>2026-02-24</v>
      </c>
      <c r="O58" t="str">
        <v>En Desarrollo</v>
      </c>
    </row>
    <row r="59">
      <c r="A59" t="str">
        <v>D0058</v>
      </c>
      <c r="B59" t="str">
        <v>Colombia</v>
      </c>
      <c r="C59" t="str">
        <v/>
      </c>
      <c r="D59" t="str">
        <v/>
      </c>
      <c r="E59" t="str">
        <v>SD</v>
      </c>
      <c r="F59" t="str">
        <v/>
      </c>
      <c r="G59" t="str">
        <v>Customer Management</v>
      </c>
      <c r="H59" t="str">
        <v>Customer Product and Service Directory</v>
      </c>
      <c r="I59" t="str">
        <v/>
      </c>
      <c r="J59" t="str">
        <v>REST</v>
      </c>
      <c r="K59" t="str">
        <v>APIM</v>
      </c>
      <c r="L59" t="str">
        <v/>
      </c>
      <c r="M59" t="str">
        <v>v1.0.0</v>
      </c>
      <c r="N59" t="str">
        <v>2026-02-24</v>
      </c>
      <c r="O59" t="str">
        <v>En Desarrollo</v>
      </c>
    </row>
    <row r="60">
      <c r="A60" t="str">
        <v>D0059</v>
      </c>
      <c r="B60" t="str">
        <v>Colombia</v>
      </c>
      <c r="C60" t="str">
        <v/>
      </c>
      <c r="D60" t="str">
        <v/>
      </c>
      <c r="E60" t="str">
        <v>SD</v>
      </c>
      <c r="F60" t="str">
        <v/>
      </c>
      <c r="G60" t="str">
        <v>Collateral Administration</v>
      </c>
      <c r="H60" t="str">
        <v>Collateral Allocation Management</v>
      </c>
      <c r="I60" t="str">
        <v/>
      </c>
      <c r="J60" t="str">
        <v>REST</v>
      </c>
      <c r="K60" t="str">
        <v>APIM</v>
      </c>
      <c r="L60" t="str">
        <v/>
      </c>
      <c r="M60" t="str">
        <v>v1.0.0</v>
      </c>
      <c r="N60" t="str">
        <v>2026-02-24</v>
      </c>
      <c r="O60" t="str">
        <v/>
      </c>
    </row>
    <row r="61">
      <c r="A61" t="str">
        <v>D0060</v>
      </c>
      <c r="B61" t="str">
        <v>Colombia</v>
      </c>
      <c r="C61" t="str">
        <v/>
      </c>
      <c r="D61" t="str">
        <v/>
      </c>
      <c r="E61" t="str">
        <v>SD</v>
      </c>
      <c r="F61" t="str">
        <v/>
      </c>
      <c r="G61" t="str">
        <v>Trade Banking</v>
      </c>
      <c r="H61" t="str">
        <v>Credit Facility</v>
      </c>
      <c r="I61" t="str">
        <v/>
      </c>
      <c r="J61" t="str">
        <v>REST</v>
      </c>
      <c r="K61" t="str">
        <v>APIM</v>
      </c>
      <c r="L61" t="str">
        <v/>
      </c>
      <c r="M61" t="str">
        <v>v1.0.0</v>
      </c>
      <c r="N61" t="str">
        <v>2026-02-24</v>
      </c>
      <c r="O61" t="str">
        <v/>
      </c>
    </row>
    <row r="62">
      <c r="A62" t="str">
        <v>D0061</v>
      </c>
      <c r="B62" t="str">
        <v>Colombia</v>
      </c>
      <c r="C62" t="str">
        <v/>
      </c>
      <c r="D62" t="str">
        <v/>
      </c>
      <c r="E62" t="str">
        <v>SD</v>
      </c>
      <c r="F62" t="str">
        <v/>
      </c>
      <c r="G62" t="str">
        <v>Party</v>
      </c>
      <c r="H62" t="str">
        <v>Legal Entity Directory</v>
      </c>
      <c r="I62" t="str">
        <v/>
      </c>
      <c r="J62" t="str">
        <v>REST</v>
      </c>
      <c r="K62" t="str">
        <v>APIM</v>
      </c>
      <c r="L62" t="str">
        <v/>
      </c>
      <c r="M62" t="str">
        <v>v1.0.0</v>
      </c>
      <c r="N62" t="str">
        <v>2026-02-24</v>
      </c>
      <c r="O62" t="str">
        <v/>
      </c>
    </row>
    <row r="63">
      <c r="A63" t="str">
        <v>D0062</v>
      </c>
      <c r="B63" t="str">
        <v>Colombia</v>
      </c>
      <c r="C63" t="str">
        <v/>
      </c>
      <c r="D63" t="str">
        <v/>
      </c>
      <c r="E63" t="str">
        <v>SD</v>
      </c>
      <c r="F63" t="str">
        <v/>
      </c>
      <c r="G63" t="str">
        <v>Party</v>
      </c>
      <c r="H63" t="str">
        <v>Party Routing Profile</v>
      </c>
      <c r="I63" t="str">
        <v/>
      </c>
      <c r="J63" t="str">
        <v>REST</v>
      </c>
      <c r="K63" t="str">
        <v>APIM</v>
      </c>
      <c r="L63" t="str">
        <v/>
      </c>
      <c r="M63" t="str">
        <v>v1.0.0</v>
      </c>
      <c r="N63" t="str">
        <v>2026-02-24</v>
      </c>
      <c r="O63" t="str">
        <v/>
      </c>
    </row>
    <row r="64">
      <c r="A64" t="str">
        <v>D0063</v>
      </c>
      <c r="B64" t="str">
        <v>Colombia</v>
      </c>
      <c r="C64" t="str">
        <v/>
      </c>
      <c r="D64" t="str">
        <v/>
      </c>
      <c r="E64" t="str">
        <v>SD</v>
      </c>
      <c r="F64" t="str">
        <v/>
      </c>
      <c r="G64" t="str">
        <v>Loans and Deposits</v>
      </c>
      <c r="H64" t="str">
        <v>Current Account</v>
      </c>
      <c r="I64" t="str">
        <v/>
      </c>
      <c r="J64" t="str">
        <v>REST</v>
      </c>
      <c r="K64" t="str">
        <v>APIM</v>
      </c>
      <c r="L64" t="str">
        <v/>
      </c>
      <c r="M64" t="str">
        <v>v1.0.0</v>
      </c>
      <c r="N64" t="str">
        <v>2026-02-24</v>
      </c>
      <c r="O64" t="str">
        <v>En Desarrollo</v>
      </c>
    </row>
    <row r="65">
      <c r="A65" t="str">
        <v>D0064</v>
      </c>
      <c r="B65" t="str">
        <v>Colombia</v>
      </c>
      <c r="C65" t="str">
        <v/>
      </c>
      <c r="D65" t="str">
        <v/>
      </c>
      <c r="E65" t="str">
        <v>SD</v>
      </c>
      <c r="F65" t="str">
        <v/>
      </c>
      <c r="G65" t="str">
        <v>Account Management</v>
      </c>
      <c r="H65" t="str">
        <v>Transaction Engine</v>
      </c>
      <c r="I65" t="str">
        <v/>
      </c>
      <c r="J65" t="str">
        <v>REST</v>
      </c>
      <c r="K65" t="str">
        <v>APIM</v>
      </c>
      <c r="L65" t="str">
        <v/>
      </c>
      <c r="M65" t="str">
        <v>v1.0.0</v>
      </c>
      <c r="N65" t="str">
        <v>2026-02-24</v>
      </c>
      <c r="O65" t="str">
        <v/>
      </c>
    </row>
    <row r="66">
      <c r="A66" t="str">
        <v>D0065</v>
      </c>
      <c r="B66" t="str">
        <v>Colombia</v>
      </c>
      <c r="C66" t="str">
        <v/>
      </c>
      <c r="D66" t="str">
        <v/>
      </c>
      <c r="E66" t="str">
        <v>SD</v>
      </c>
      <c r="F66" t="str">
        <v>Product Catalog</v>
      </c>
      <c r="G66" t="str">
        <v>Product Management</v>
      </c>
      <c r="H66" t="str">
        <v>Product Directory</v>
      </c>
      <c r="I66" t="str">
        <v/>
      </c>
      <c r="J66" t="str">
        <v>REST</v>
      </c>
      <c r="K66" t="str">
        <v>APIM</v>
      </c>
      <c r="L66" t="str">
        <v/>
      </c>
      <c r="M66" t="str">
        <v>v1.0.0</v>
      </c>
      <c r="N66" t="str">
        <v>2026-02-24</v>
      </c>
      <c r="O66" t="str">
        <v/>
      </c>
    </row>
    <row r="67">
      <c r="A67" t="str">
        <v>D0066</v>
      </c>
      <c r="B67" t="str">
        <v>Colombia</v>
      </c>
      <c r="C67" t="str">
        <v/>
      </c>
      <c r="D67" t="str">
        <v/>
      </c>
      <c r="E67" t="str">
        <v>SD</v>
      </c>
      <c r="F67" t="str">
        <v/>
      </c>
      <c r="G67" t="str">
        <v>Payments</v>
      </c>
      <c r="H67" t="str">
        <v>ACH Operations</v>
      </c>
      <c r="I67" t="str">
        <v/>
      </c>
      <c r="J67" t="str">
        <v>REST</v>
      </c>
      <c r="K67" t="str">
        <v>APIM</v>
      </c>
      <c r="L67" t="str">
        <v/>
      </c>
      <c r="M67" t="str">
        <v>v1.0.0</v>
      </c>
      <c r="N67" t="str">
        <v>2026-02-24</v>
      </c>
      <c r="O67" t="str">
        <v/>
      </c>
    </row>
    <row r="68">
      <c r="A68" t="str">
        <v>D0067</v>
      </c>
      <c r="B68" t="str">
        <v>Colombia</v>
      </c>
      <c r="C68" t="str">
        <v/>
      </c>
      <c r="D68" t="str">
        <v/>
      </c>
      <c r="E68" t="str">
        <v>SD</v>
      </c>
      <c r="F68" t="str">
        <v/>
      </c>
      <c r="G68" t="str">
        <v>Account Management</v>
      </c>
      <c r="H68" t="str">
        <v>Fraud Evaluation</v>
      </c>
      <c r="I68" t="str">
        <v/>
      </c>
      <c r="J68" t="str">
        <v>REST</v>
      </c>
      <c r="K68" t="str">
        <v>APIM</v>
      </c>
      <c r="L68" t="str">
        <v/>
      </c>
      <c r="M68" t="str">
        <v>v1.0.0</v>
      </c>
      <c r="N68" t="str">
        <v>2026-02-24</v>
      </c>
      <c r="O68" t="str">
        <v/>
      </c>
    </row>
    <row r="69">
      <c r="A69" t="str">
        <v>D0068</v>
      </c>
      <c r="B69" t="str">
        <v>Colombia</v>
      </c>
      <c r="C69" t="str">
        <v/>
      </c>
      <c r="D69" t="str">
        <v/>
      </c>
      <c r="E69" t="str">
        <v>SD</v>
      </c>
      <c r="F69" t="str">
        <v/>
      </c>
      <c r="G69" t="str">
        <v>Servicing</v>
      </c>
      <c r="H69" t="str">
        <v>Payment Initiation</v>
      </c>
      <c r="I69" t="str">
        <v/>
      </c>
      <c r="J69" t="str">
        <v>REST</v>
      </c>
      <c r="K69" t="str">
        <v>APIM</v>
      </c>
      <c r="L69" t="str">
        <v/>
      </c>
      <c r="M69" t="str">
        <v>v1.0.0</v>
      </c>
      <c r="N69" t="str">
        <v>2026-02-24</v>
      </c>
      <c r="O69" t="str">
        <v/>
      </c>
    </row>
    <row r="70">
      <c r="A70" t="str">
        <v>D0069</v>
      </c>
      <c r="B70" t="str">
        <v>Colombia</v>
      </c>
      <c r="C70" t="str">
        <v/>
      </c>
      <c r="D70" t="str">
        <v/>
      </c>
      <c r="E70" t="str">
        <v>SD</v>
      </c>
      <c r="F70" t="str">
        <v/>
      </c>
      <c r="G70" t="str">
        <v>Payments</v>
      </c>
      <c r="H70" t="str">
        <v>Payment Execution</v>
      </c>
      <c r="I70" t="str">
        <v/>
      </c>
      <c r="J70" t="str">
        <v>REST</v>
      </c>
      <c r="K70" t="str">
        <v>APIM</v>
      </c>
      <c r="L70" t="str">
        <v/>
      </c>
      <c r="M70" t="str">
        <v>v1.0.0</v>
      </c>
      <c r="N70" t="str">
        <v>2026-02-24</v>
      </c>
      <c r="O70" t="str">
        <v/>
      </c>
    </row>
    <row r="71">
      <c r="A71" t="str">
        <v>D0070</v>
      </c>
      <c r="B71" t="str">
        <v>Colombia</v>
      </c>
      <c r="C71" t="str">
        <v/>
      </c>
      <c r="D71" t="str">
        <v/>
      </c>
      <c r="E71" t="str">
        <v>SD</v>
      </c>
      <c r="F71" t="str">
        <v/>
      </c>
      <c r="G71" t="str">
        <v>Payments</v>
      </c>
      <c r="H71" t="str">
        <v>Payment Order</v>
      </c>
      <c r="I71" t="str">
        <v/>
      </c>
      <c r="J71" t="str">
        <v>REST</v>
      </c>
      <c r="K71" t="str">
        <v>APIM</v>
      </c>
      <c r="L71" t="str">
        <v/>
      </c>
      <c r="M71" t="str">
        <v>v1.0.0</v>
      </c>
      <c r="N71" t="str">
        <v>2026-02-24</v>
      </c>
      <c r="O71" t="str">
        <v/>
      </c>
    </row>
    <row r="72">
      <c r="A72" t="str">
        <v>D0071</v>
      </c>
      <c r="B72" t="str">
        <v>Colombia</v>
      </c>
      <c r="C72" t="str">
        <v/>
      </c>
      <c r="D72" t="str">
        <v/>
      </c>
      <c r="E72" t="str">
        <v>SD</v>
      </c>
      <c r="F72" t="str">
        <v/>
      </c>
      <c r="G72" t="str">
        <v>Market Data</v>
      </c>
      <c r="H72" t="str">
        <v>Public Reference Data Management</v>
      </c>
      <c r="I72" t="str">
        <v/>
      </c>
      <c r="J72" t="str">
        <v>REST</v>
      </c>
      <c r="K72" t="str">
        <v>APIM</v>
      </c>
      <c r="L72" t="str">
        <v/>
      </c>
      <c r="M72" t="str">
        <v>v1.0.0</v>
      </c>
      <c r="N72" t="str">
        <v>2026-02-24</v>
      </c>
      <c r="O72" t="str">
        <v/>
      </c>
    </row>
    <row r="73">
      <c r="A73" t="str">
        <v>D0072</v>
      </c>
      <c r="B73" t="str">
        <v>Colombia</v>
      </c>
      <c r="C73" t="str">
        <v/>
      </c>
      <c r="D73" t="str">
        <v/>
      </c>
      <c r="E73" t="str">
        <v>SD</v>
      </c>
      <c r="F73" t="str">
        <v/>
      </c>
      <c r="G73" t="str">
        <v>Models</v>
      </c>
      <c r="H73" t="str">
        <v>Credit Risk Models</v>
      </c>
      <c r="I73" t="str">
        <v/>
      </c>
      <c r="J73" t="str">
        <v>REST</v>
      </c>
      <c r="K73" t="str">
        <v>APIM</v>
      </c>
      <c r="L73" t="str">
        <v/>
      </c>
      <c r="M73" t="str">
        <v>v1.0.0</v>
      </c>
      <c r="N73" t="str">
        <v>2026-02-24</v>
      </c>
      <c r="O73" t="str">
        <v/>
      </c>
    </row>
    <row r="74">
      <c r="A74" t="str">
        <v>D0073</v>
      </c>
      <c r="B74" t="str">
        <v>Colombia</v>
      </c>
      <c r="C74" t="str">
        <v/>
      </c>
      <c r="D74" t="str">
        <v/>
      </c>
      <c r="E74" t="str">
        <v>SD</v>
      </c>
      <c r="F74" t="str">
        <v/>
      </c>
      <c r="G74" t="str">
        <v>Sales</v>
      </c>
      <c r="H74" t="str">
        <v>Customer Offer</v>
      </c>
      <c r="I74" t="str">
        <v/>
      </c>
      <c r="J74" t="str">
        <v>REST</v>
      </c>
      <c r="K74" t="str">
        <v>APIM</v>
      </c>
      <c r="L74" t="str">
        <v/>
      </c>
      <c r="M74" t="str">
        <v>v1.0.0</v>
      </c>
      <c r="N74" t="str">
        <v>2026-02-24</v>
      </c>
      <c r="O74" t="str">
        <v/>
      </c>
    </row>
    <row r="75">
      <c r="A75" t="str">
        <v>D0074</v>
      </c>
      <c r="B75" t="str">
        <v>Colombia</v>
      </c>
      <c r="C75" t="str">
        <v/>
      </c>
      <c r="D75" t="str">
        <v/>
      </c>
      <c r="E75" t="str">
        <v>SD</v>
      </c>
      <c r="F75" t="str">
        <v/>
      </c>
      <c r="G75" t="str">
        <v>Operational Services</v>
      </c>
      <c r="H75" t="str">
        <v>Internal Bank Account</v>
      </c>
      <c r="I75" t="str">
        <v/>
      </c>
      <c r="J75" t="str">
        <v>REST</v>
      </c>
      <c r="K75" t="str">
        <v>APIM</v>
      </c>
      <c r="L75" t="str">
        <v/>
      </c>
      <c r="M75" t="str">
        <v>v1.0.0</v>
      </c>
      <c r="N75" t="str">
        <v>2026-02-24</v>
      </c>
      <c r="O75" t="str">
        <v/>
      </c>
    </row>
    <row r="76">
      <c r="A76" t="str">
        <v>D0075</v>
      </c>
      <c r="B76" t="str">
        <v>Colombia</v>
      </c>
      <c r="C76" t="str">
        <v/>
      </c>
      <c r="D76" t="str">
        <v/>
      </c>
      <c r="E76" t="str">
        <v>SD</v>
      </c>
      <c r="F76" t="str">
        <v/>
      </c>
      <c r="G76" t="str">
        <v>Sales</v>
      </c>
      <c r="H76" t="str">
        <v>Lead and Opportunity Management</v>
      </c>
      <c r="I76" t="str">
        <v/>
      </c>
      <c r="J76" t="str">
        <v>REST</v>
      </c>
      <c r="K76" t="str">
        <v>APIM</v>
      </c>
      <c r="L76" t="str">
        <v/>
      </c>
      <c r="M76" t="str">
        <v>v1.0.0</v>
      </c>
      <c r="N76" t="str">
        <v>2026-02-24</v>
      </c>
      <c r="O76" t="str">
        <v/>
      </c>
    </row>
    <row r="77">
      <c r="A77" t="str">
        <v>D0076</v>
      </c>
      <c r="B77" t="str">
        <v>Colombia</v>
      </c>
      <c r="C77" t="str">
        <v/>
      </c>
      <c r="D77" t="str">
        <v/>
      </c>
      <c r="E77" t="str">
        <v>SD</v>
      </c>
      <c r="F77" t="str">
        <v/>
      </c>
      <c r="G77" t="str">
        <v>Sales</v>
      </c>
      <c r="H77" t="str">
        <v>Product Matching</v>
      </c>
      <c r="I77" t="str">
        <v/>
      </c>
      <c r="J77" t="str">
        <v>REST</v>
      </c>
      <c r="K77" t="str">
        <v>APIM</v>
      </c>
      <c r="L77" t="str">
        <v/>
      </c>
      <c r="M77" t="str">
        <v>v1.0.0</v>
      </c>
      <c r="N77" t="str">
        <v>2026-02-24</v>
      </c>
      <c r="O77" t="str">
        <v/>
      </c>
    </row>
    <row r="78">
      <c r="A78" t="str">
        <v>D0077</v>
      </c>
      <c r="B78" t="str">
        <v>Colombia</v>
      </c>
      <c r="C78" t="str">
        <v/>
      </c>
      <c r="D78" t="str">
        <v/>
      </c>
      <c r="E78" t="str">
        <v>SD</v>
      </c>
      <c r="F78" t="str">
        <v/>
      </c>
      <c r="G78" t="str">
        <v>Sales</v>
      </c>
      <c r="H78" t="str">
        <v>Underwriting</v>
      </c>
      <c r="I78" t="str">
        <v/>
      </c>
      <c r="J78" t="str">
        <v>REST</v>
      </c>
      <c r="K78" t="str">
        <v>APIM</v>
      </c>
      <c r="L78" t="str">
        <v/>
      </c>
      <c r="M78" t="str">
        <v>v1.0.0</v>
      </c>
      <c r="N78" t="str">
        <v>2026-02-24</v>
      </c>
      <c r="O78" t="str">
        <v/>
      </c>
    </row>
    <row r="79">
      <c r="A79" t="str">
        <v>D0078</v>
      </c>
      <c r="B79" t="str">
        <v>Colombia</v>
      </c>
      <c r="C79" t="str">
        <v/>
      </c>
      <c r="D79" t="str">
        <v/>
      </c>
      <c r="E79" t="str">
        <v>SD</v>
      </c>
      <c r="F79" t="str">
        <v/>
      </c>
      <c r="G79" t="str">
        <v>Customer Management</v>
      </c>
      <c r="H79" t="str">
        <v>Customer Agreement</v>
      </c>
      <c r="I79" t="str">
        <v/>
      </c>
      <c r="J79" t="str">
        <v>REST</v>
      </c>
      <c r="K79" t="str">
        <v>APIM</v>
      </c>
      <c r="L79" t="str">
        <v/>
      </c>
      <c r="M79" t="str">
        <v>v1.0.0</v>
      </c>
      <c r="N79" t="str">
        <v>2026-02-24</v>
      </c>
      <c r="O79" t="str">
        <v/>
      </c>
    </row>
    <row r="80">
      <c r="A80" t="str">
        <v>D0079</v>
      </c>
      <c r="B80" t="str">
        <v>Colombia</v>
      </c>
      <c r="C80" t="str">
        <v/>
      </c>
      <c r="D80" t="str">
        <v/>
      </c>
      <c r="E80" t="str">
        <v>SD</v>
      </c>
      <c r="F80" t="str">
        <v/>
      </c>
      <c r="G80" t="str">
        <v>Operational Services</v>
      </c>
      <c r="H80" t="str">
        <v>Customer Billing</v>
      </c>
      <c r="I80" t="str">
        <v/>
      </c>
      <c r="J80" t="str">
        <v>REST</v>
      </c>
      <c r="K80" t="str">
        <v>APIM</v>
      </c>
      <c r="L80" t="str">
        <v/>
      </c>
      <c r="M80" t="str">
        <v>v1.0.0</v>
      </c>
      <c r="N80" t="str">
        <v>2026-02-24</v>
      </c>
      <c r="O80" t="str">
        <v/>
      </c>
    </row>
    <row r="81">
      <c r="A81" t="str">
        <v>D0080</v>
      </c>
      <c r="B81" t="str">
        <v>Colombia</v>
      </c>
      <c r="C81" t="str">
        <v/>
      </c>
      <c r="D81" t="str">
        <v/>
      </c>
      <c r="E81" t="str">
        <v>SD</v>
      </c>
      <c r="F81" t="str">
        <v/>
      </c>
      <c r="G81" t="str">
        <v>Consumer Services</v>
      </c>
      <c r="H81" t="str">
        <v>Customer Tax Handling</v>
      </c>
      <c r="I81" t="str">
        <v/>
      </c>
      <c r="J81" t="str">
        <v>REST</v>
      </c>
      <c r="K81" t="str">
        <v>APIM</v>
      </c>
      <c r="L81" t="str">
        <v/>
      </c>
      <c r="M81" t="str">
        <v>v1.0.0</v>
      </c>
      <c r="N81" t="str">
        <v>2026-02-24</v>
      </c>
      <c r="O81" t="str">
        <v/>
      </c>
    </row>
    <row r="82">
      <c r="A82" t="str">
        <v>D0081</v>
      </c>
      <c r="B82" t="str">
        <v>Colombia</v>
      </c>
      <c r="C82" t="str">
        <v/>
      </c>
      <c r="D82" t="str">
        <v/>
      </c>
      <c r="E82" t="str">
        <v>SD</v>
      </c>
      <c r="F82" t="str">
        <v/>
      </c>
      <c r="G82" t="str">
        <v>Account Management</v>
      </c>
      <c r="H82" t="str">
        <v>Position Keeping</v>
      </c>
      <c r="I82" t="str">
        <v/>
      </c>
      <c r="J82" t="str">
        <v>REST</v>
      </c>
      <c r="K82" t="str">
        <v>APIM</v>
      </c>
      <c r="L82" t="str">
        <v/>
      </c>
      <c r="M82" t="str">
        <v>v1.0.0</v>
      </c>
      <c r="N82" t="str">
        <v>2026-02-24</v>
      </c>
      <c r="O82" t="str">
        <v/>
      </c>
    </row>
    <row r="83">
      <c r="A83" t="str">
        <v>D0082</v>
      </c>
      <c r="B83" t="str">
        <v>Colombia</v>
      </c>
      <c r="C83" t="str">
        <v/>
      </c>
      <c r="D83" t="str">
        <v/>
      </c>
      <c r="E83" t="str">
        <v>SD</v>
      </c>
      <c r="F83" t="str">
        <v/>
      </c>
      <c r="G83" t="str">
        <v>Regulations and Compliance</v>
      </c>
      <c r="H83" t="str">
        <v>Regulatory Compliance</v>
      </c>
      <c r="I83" t="str">
        <v/>
      </c>
      <c r="J83" t="str">
        <v>REST</v>
      </c>
      <c r="K83" t="str">
        <v>APIM</v>
      </c>
      <c r="L83" t="str">
        <v/>
      </c>
      <c r="M83" t="str">
        <v>v1.0.0</v>
      </c>
      <c r="N83" t="str">
        <v>2026-02-24</v>
      </c>
      <c r="O83" t="str">
        <v/>
      </c>
    </row>
    <row r="84">
      <c r="A84" t="str">
        <v>D0083</v>
      </c>
      <c r="B84" t="str">
        <v>Colombia</v>
      </c>
      <c r="C84" t="str">
        <v/>
      </c>
      <c r="D84" t="str">
        <v/>
      </c>
      <c r="E84" t="str">
        <v>SD</v>
      </c>
      <c r="F84" t="str">
        <v/>
      </c>
      <c r="G84" t="str">
        <v>Customer Management</v>
      </c>
      <c r="H84" t="str">
        <v>Sales Product Agreement</v>
      </c>
      <c r="I84" t="str">
        <v/>
      </c>
      <c r="J84" t="str">
        <v>REST</v>
      </c>
      <c r="K84" t="str">
        <v>APIM</v>
      </c>
      <c r="L84" t="str">
        <v/>
      </c>
      <c r="M84" t="str">
        <v>v1.0.0</v>
      </c>
      <c r="N84" t="str">
        <v>2026-02-24</v>
      </c>
      <c r="O84" t="str">
        <v/>
      </c>
    </row>
    <row r="85">
      <c r="A85" t="str">
        <v>D0084</v>
      </c>
      <c r="B85" t="str">
        <v>Colombia</v>
      </c>
      <c r="C85" t="str">
        <v/>
      </c>
      <c r="D85" t="str">
        <v/>
      </c>
      <c r="E85" t="str">
        <v>SD</v>
      </c>
      <c r="F85" t="str">
        <v/>
      </c>
      <c r="G85" t="str">
        <v>Cross Channel</v>
      </c>
      <c r="H85" t="str">
        <v>Transaction Authorization</v>
      </c>
      <c r="I85" t="str">
        <v/>
      </c>
      <c r="J85" t="str">
        <v>REST</v>
      </c>
      <c r="K85" t="str">
        <v>APIM</v>
      </c>
      <c r="L85" t="str">
        <v/>
      </c>
      <c r="M85" t="str">
        <v>v1.0.0</v>
      </c>
      <c r="N85" t="str">
        <v>2026-02-24</v>
      </c>
      <c r="O85" t="str">
        <v/>
      </c>
    </row>
    <row r="86">
      <c r="A86" t="str">
        <v>D0085</v>
      </c>
      <c r="B86" t="str">
        <v>Colombia</v>
      </c>
      <c r="C86" t="str">
        <v/>
      </c>
      <c r="D86" t="str">
        <v/>
      </c>
      <c r="E86" t="str">
        <v>SD</v>
      </c>
      <c r="F86" t="str">
        <v/>
      </c>
      <c r="G86" t="str">
        <v>Operational Services</v>
      </c>
      <c r="H86" t="str">
        <v>Channel Activity History</v>
      </c>
      <c r="I86" t="str">
        <v/>
      </c>
      <c r="J86" t="str">
        <v>REST</v>
      </c>
      <c r="K86" t="str">
        <v>APIM</v>
      </c>
      <c r="L86" t="str">
        <v/>
      </c>
      <c r="M86" t="str">
        <v>v1.0.0</v>
      </c>
      <c r="N86" t="str">
        <v>2026-02-24</v>
      </c>
      <c r="O86" t="str">
        <v>En Desarrollo</v>
      </c>
    </row>
    <row r="87">
      <c r="A87" t="str">
        <v>D0086</v>
      </c>
      <c r="B87" t="str">
        <v>Colombia</v>
      </c>
      <c r="C87" t="str">
        <v/>
      </c>
      <c r="D87" t="str">
        <v/>
      </c>
      <c r="E87" t="str">
        <v>SD</v>
      </c>
      <c r="F87" t="str">
        <v/>
      </c>
      <c r="G87" t="str">
        <v>Cross Channel</v>
      </c>
      <c r="H87" t="str">
        <v>Contact Handler</v>
      </c>
      <c r="I87" t="str">
        <v/>
      </c>
      <c r="J87" t="str">
        <v>REST</v>
      </c>
      <c r="K87" t="str">
        <v>APIM</v>
      </c>
      <c r="L87" t="str">
        <v/>
      </c>
      <c r="M87" t="str">
        <v>v1.0.0</v>
      </c>
      <c r="N87" t="str">
        <v>2026-02-24</v>
      </c>
      <c r="O87" t="str">
        <v/>
      </c>
    </row>
    <row r="88">
      <c r="A88" t="str">
        <v>D0087</v>
      </c>
      <c r="B88" t="str">
        <v>Colombia</v>
      </c>
      <c r="C88" t="str">
        <v/>
      </c>
      <c r="D88" t="str">
        <v/>
      </c>
      <c r="E88" t="str">
        <v>SD</v>
      </c>
      <c r="F88" t="str">
        <v/>
      </c>
      <c r="G88" t="str">
        <v>Document Management and Archive</v>
      </c>
      <c r="H88" t="str">
        <v>Correspondence</v>
      </c>
      <c r="I88" t="str">
        <v/>
      </c>
      <c r="J88" t="str">
        <v>REST</v>
      </c>
      <c r="K88" t="str">
        <v>APIM</v>
      </c>
      <c r="L88" t="str">
        <v/>
      </c>
      <c r="M88" t="str">
        <v>v1.0.0</v>
      </c>
      <c r="N88" t="str">
        <v>2026-02-24</v>
      </c>
      <c r="O88" t="str">
        <v/>
      </c>
    </row>
    <row r="89">
      <c r="A89" t="str">
        <v>D0088</v>
      </c>
      <c r="B89" t="str">
        <v>Colombia</v>
      </c>
      <c r="C89" t="str">
        <v/>
      </c>
      <c r="D89" t="str">
        <v/>
      </c>
      <c r="E89" t="str">
        <v>SD</v>
      </c>
      <c r="F89" t="str">
        <v/>
      </c>
      <c r="G89" t="str">
        <v>Cross Channel</v>
      </c>
      <c r="H89" t="str">
        <v>Session Dialogue</v>
      </c>
      <c r="I89" t="str">
        <v/>
      </c>
      <c r="J89" t="str">
        <v>REST</v>
      </c>
      <c r="K89" t="str">
        <v>APIM</v>
      </c>
      <c r="L89" t="str">
        <v/>
      </c>
      <c r="M89" t="str">
        <v>v1.0.0</v>
      </c>
      <c r="N89" t="str">
        <v>2026-02-24</v>
      </c>
      <c r="O89" t="str">
        <v/>
      </c>
    </row>
    <row r="90">
      <c r="A90" t="str">
        <v>D0089</v>
      </c>
      <c r="B90" t="str">
        <v>Colombia</v>
      </c>
      <c r="C90" t="str">
        <v/>
      </c>
      <c r="D90" t="str">
        <v/>
      </c>
      <c r="E90" t="str">
        <v>SD</v>
      </c>
      <c r="F90" t="str">
        <v/>
      </c>
      <c r="G90" t="str">
        <v>Operational Services</v>
      </c>
      <c r="H90" t="str">
        <v>Disbursement</v>
      </c>
      <c r="I90" t="str">
        <v/>
      </c>
      <c r="J90" t="str">
        <v>REST</v>
      </c>
      <c r="K90" t="str">
        <v>APIM</v>
      </c>
      <c r="L90" t="str">
        <v/>
      </c>
      <c r="M90" t="str">
        <v>v1.0.0</v>
      </c>
      <c r="N90" t="str">
        <v>2026-02-24</v>
      </c>
      <c r="O90" t="str">
        <v/>
      </c>
    </row>
    <row r="91">
      <c r="A91" t="str">
        <v>D0090</v>
      </c>
      <c r="B91" t="str">
        <v>Colombia</v>
      </c>
      <c r="C91" t="str">
        <v/>
      </c>
      <c r="D91" t="str">
        <v/>
      </c>
      <c r="E91" t="str">
        <v>SD</v>
      </c>
      <c r="F91" t="str">
        <v/>
      </c>
      <c r="G91" t="str">
        <v>Payments</v>
      </c>
      <c r="H91" t="str">
        <v>Payment Rail Operations</v>
      </c>
      <c r="I91" t="str">
        <v/>
      </c>
      <c r="J91" t="str">
        <v>REST</v>
      </c>
      <c r="K91" t="str">
        <v>APIM</v>
      </c>
      <c r="L91" t="str">
        <v/>
      </c>
      <c r="M91" t="str">
        <v>v1.0.0</v>
      </c>
      <c r="N91" t="str">
        <v>2026-02-24</v>
      </c>
      <c r="O91" t="str">
        <v/>
      </c>
    </row>
    <row r="92">
      <c r="A92" t="str">
        <v>D0091</v>
      </c>
      <c r="B92" t="str">
        <v>Colombia</v>
      </c>
      <c r="C92" t="str">
        <v/>
      </c>
      <c r="D92" t="str">
        <v/>
      </c>
      <c r="E92" t="str">
        <v>SD</v>
      </c>
      <c r="F92" t="str">
        <v/>
      </c>
      <c r="G92" t="str">
        <v>Consumer Services</v>
      </c>
      <c r="H92" t="str">
        <v>Brokered Product</v>
      </c>
      <c r="I92" t="str">
        <v/>
      </c>
      <c r="J92" t="str">
        <v>REST</v>
      </c>
      <c r="K92" t="str">
        <v>APIM</v>
      </c>
      <c r="L92" t="str">
        <v/>
      </c>
      <c r="M92" t="str">
        <v>v1.0.0</v>
      </c>
      <c r="N92" t="str">
        <v>2026-02-24</v>
      </c>
      <c r="O92" t="str">
        <v/>
      </c>
    </row>
    <row r="93">
      <c r="A93" t="str">
        <v>D0092</v>
      </c>
      <c r="B93" t="str">
        <v>Colombia</v>
      </c>
      <c r="C93" t="str">
        <v/>
      </c>
      <c r="D93" t="str">
        <v/>
      </c>
      <c r="E93" t="str">
        <v>SD</v>
      </c>
      <c r="F93" t="str">
        <v/>
      </c>
      <c r="G93" t="str">
        <v>Cards</v>
      </c>
      <c r="H93" t="str">
        <v>Merchant Relations</v>
      </c>
      <c r="I93" t="str">
        <v/>
      </c>
      <c r="J93" t="str">
        <v>REST</v>
      </c>
      <c r="K93" t="str">
        <v>APIM</v>
      </c>
      <c r="L93" t="str">
        <v/>
      </c>
      <c r="M93" t="str">
        <v>v1.0.0</v>
      </c>
      <c r="N93" t="str">
        <v>2026-02-24</v>
      </c>
      <c r="O93" t="str">
        <v/>
      </c>
    </row>
    <row r="94">
      <c r="A94" t="str">
        <v>D0093</v>
      </c>
      <c r="B94" t="str">
        <v>Colombia</v>
      </c>
      <c r="C94" t="str">
        <v/>
      </c>
      <c r="D94" t="str">
        <v/>
      </c>
      <c r="E94" t="str">
        <v>SD</v>
      </c>
      <c r="F94" t="str">
        <v/>
      </c>
      <c r="G94" t="str">
        <v>External Agency</v>
      </c>
      <c r="H94" t="str">
        <v>Service Provider Operations</v>
      </c>
      <c r="I94" t="str">
        <v/>
      </c>
      <c r="J94" t="str">
        <v>REST</v>
      </c>
      <c r="K94" t="str">
        <v>APIM</v>
      </c>
      <c r="L94" t="str">
        <v/>
      </c>
      <c r="M94" t="str">
        <v>v1.0.0</v>
      </c>
      <c r="N94" t="str">
        <v>2026-02-24</v>
      </c>
      <c r="O94" t="str">
        <v/>
      </c>
    </row>
    <row r="95">
      <c r="A95" t="str">
        <v>D0094</v>
      </c>
      <c r="B95" t="str">
        <v>Colombia</v>
      </c>
      <c r="C95" t="str">
        <v/>
      </c>
      <c r="D95" t="str">
        <v/>
      </c>
      <c r="E95" t="str">
        <v>SD</v>
      </c>
      <c r="F95" t="str">
        <v/>
      </c>
      <c r="G95" t="str">
        <v>Market Operations</v>
      </c>
      <c r="H95" t="str">
        <v>Custody Administration</v>
      </c>
      <c r="I95" t="str">
        <v/>
      </c>
      <c r="J95" t="str">
        <v>REST</v>
      </c>
      <c r="K95" t="str">
        <v>APIM</v>
      </c>
      <c r="L95" t="str">
        <v/>
      </c>
      <c r="M95" t="str">
        <v>v1.0.0</v>
      </c>
      <c r="N95" t="str">
        <v>2026-02-24</v>
      </c>
      <c r="O95" t="str">
        <v/>
      </c>
    </row>
    <row r="96">
      <c r="A96" t="str">
        <v>D0095</v>
      </c>
      <c r="B96" t="str">
        <v>Colombia</v>
      </c>
      <c r="C96" t="str">
        <v/>
      </c>
      <c r="D96" t="str">
        <v/>
      </c>
      <c r="E96" t="str">
        <v>SD</v>
      </c>
      <c r="F96" t="str">
        <v/>
      </c>
      <c r="G96" t="str">
        <v>Document Management and Archive</v>
      </c>
      <c r="H96" t="str">
        <v>Document Directory</v>
      </c>
      <c r="I96" t="str">
        <v/>
      </c>
      <c r="J96" t="str">
        <v>REST</v>
      </c>
      <c r="K96" t="str">
        <v>APIM</v>
      </c>
      <c r="L96" t="str">
        <v/>
      </c>
      <c r="M96" t="str">
        <v>v1.0.0</v>
      </c>
      <c r="N96" t="str">
        <v>2026-02-24</v>
      </c>
      <c r="O96" t="str">
        <v/>
      </c>
    </row>
    <row r="97">
      <c r="A97" t="str">
        <v>D0096</v>
      </c>
      <c r="B97" t="str">
        <v>Colombia</v>
      </c>
      <c r="C97" t="str">
        <v/>
      </c>
      <c r="D97" t="str">
        <v/>
      </c>
      <c r="E97" t="str">
        <v>SD</v>
      </c>
      <c r="F97" t="str">
        <v/>
      </c>
      <c r="G97" t="str">
        <v>Document Management and Archive</v>
      </c>
      <c r="H97" t="str">
        <v>Document Services</v>
      </c>
      <c r="I97" t="str">
        <v/>
      </c>
      <c r="J97" t="str">
        <v>REST</v>
      </c>
      <c r="K97" t="str">
        <v>APIM</v>
      </c>
      <c r="L97" t="str">
        <v/>
      </c>
      <c r="M97" t="str">
        <v>v1.0.0</v>
      </c>
      <c r="N97" t="str">
        <v>2026-02-24</v>
      </c>
      <c r="O97" t="str">
        <v/>
      </c>
    </row>
    <row r="98">
      <c r="A98" t="str">
        <v>D0097</v>
      </c>
      <c r="B98" t="str">
        <v>Colombia</v>
      </c>
      <c r="C98" t="str">
        <v/>
      </c>
      <c r="D98" t="str">
        <v/>
      </c>
      <c r="E98" t="str">
        <v>SD</v>
      </c>
      <c r="F98" t="str">
        <v/>
      </c>
      <c r="G98" t="str">
        <v>Operational Services</v>
      </c>
      <c r="H98" t="str">
        <v>Issued Device Administration</v>
      </c>
      <c r="I98" t="str">
        <v/>
      </c>
      <c r="J98" t="str">
        <v>REST</v>
      </c>
      <c r="K98" t="str">
        <v>APIM</v>
      </c>
      <c r="L98" t="str">
        <v/>
      </c>
      <c r="M98" t="str">
        <v>v1.0.0</v>
      </c>
      <c r="N98" t="str">
        <v>2026-02-24</v>
      </c>
      <c r="O98" t="str">
        <v/>
      </c>
    </row>
    <row r="99">
      <c r="A99" t="str">
        <v>D0098</v>
      </c>
      <c r="B99" t="str">
        <v>Colombia</v>
      </c>
      <c r="C99" t="str">
        <v/>
      </c>
      <c r="D99" t="str">
        <v/>
      </c>
      <c r="E99" t="str">
        <v>SD</v>
      </c>
      <c r="F99" t="str">
        <v/>
      </c>
      <c r="G99" t="str">
        <v>Operational Services</v>
      </c>
      <c r="H99" t="str">
        <v>Issued Device Tracking</v>
      </c>
      <c r="I99" t="str">
        <v/>
      </c>
      <c r="J99" t="str">
        <v>REST</v>
      </c>
      <c r="K99" t="str">
        <v>APIM</v>
      </c>
      <c r="L99" t="str">
        <v/>
      </c>
      <c r="M99" t="str">
        <v>v1.0.0</v>
      </c>
      <c r="N99" t="str">
        <v>2026-02-24</v>
      </c>
      <c r="O99" t="str">
        <v/>
      </c>
    </row>
    <row r="100">
      <c r="A100" t="str">
        <v>D0099</v>
      </c>
      <c r="B100" t="str">
        <v>Perú</v>
      </c>
      <c r="C100" t="str">
        <v/>
      </c>
      <c r="D100" t="str">
        <v/>
      </c>
      <c r="E100" t="str">
        <v>SD</v>
      </c>
      <c r="F100" t="str">
        <v>Operations and Execution</v>
      </c>
      <c r="G100" t="str">
        <v>Operational Services</v>
      </c>
      <c r="H100" t="str">
        <v>Delinquent Account Handling</v>
      </c>
      <c r="I100" t="str">
        <v/>
      </c>
      <c r="J100" t="str">
        <v>REST</v>
      </c>
      <c r="K100" t="str">
        <v>APIM</v>
      </c>
      <c r="L100" t="str">
        <v/>
      </c>
      <c r="M100" t="str">
        <v>v1.0.0</v>
      </c>
      <c r="N100" t="str">
        <v>2026-06-02</v>
      </c>
      <c r="O100" t="str">
        <v>En Desarrollo</v>
      </c>
    </row>
    <row r="101">
      <c r="A101" t="str">
        <v>D0100</v>
      </c>
      <c r="B101" t="str">
        <v>Perú</v>
      </c>
      <c r="C101" t="str">
        <v/>
      </c>
      <c r="D101" t="str">
        <v/>
      </c>
      <c r="E101" t="str">
        <v>SD</v>
      </c>
      <c r="F101" t="str">
        <v>Sales and Service</v>
      </c>
      <c r="G101" t="str">
        <v>Customer Management</v>
      </c>
      <c r="H101" t="str">
        <v>Account Recovery</v>
      </c>
      <c r="I101" t="str">
        <v/>
      </c>
      <c r="J101" t="str">
        <v>REST</v>
      </c>
      <c r="K101" t="str">
        <v>APIM</v>
      </c>
      <c r="L101" t="str">
        <v/>
      </c>
      <c r="M101" t="str">
        <v>v1.0.0</v>
      </c>
      <c r="N101" t="str">
        <v>2026-06-02</v>
      </c>
      <c r="O101" t="str">
        <v/>
      </c>
    </row>
    <row r="102">
      <c r="A102" t="str">
        <v>D0101</v>
      </c>
      <c r="B102" t="str">
        <v>Perú</v>
      </c>
      <c r="C102" t="str">
        <v/>
      </c>
      <c r="D102" t="str">
        <v/>
      </c>
      <c r="E102" t="str">
        <v>SD</v>
      </c>
      <c r="F102" t="str">
        <v>Operations and Execution</v>
      </c>
      <c r="G102" t="str">
        <v>Collateral Administration</v>
      </c>
      <c r="H102" t="str">
        <v>Collections</v>
      </c>
      <c r="I102" t="str">
        <v/>
      </c>
      <c r="J102" t="str">
        <v>REST</v>
      </c>
      <c r="K102" t="str">
        <v>APIM</v>
      </c>
      <c r="L102" t="str">
        <v/>
      </c>
      <c r="M102" t="str">
        <v>v1.0.0</v>
      </c>
      <c r="N102" t="str">
        <v>2026-06-02</v>
      </c>
      <c r="O102" t="str">
        <v/>
      </c>
    </row>
    <row r="103">
      <c r="A103" t="str">
        <v>D0102</v>
      </c>
      <c r="B103" t="str">
        <v>Perú</v>
      </c>
      <c r="C103" t="str">
        <v/>
      </c>
      <c r="D103" t="str">
        <v/>
      </c>
      <c r="E103" t="str">
        <v>SD</v>
      </c>
      <c r="F103" t="str">
        <v>Sales and Service</v>
      </c>
      <c r="G103" t="str">
        <v>Cross Channel</v>
      </c>
      <c r="H103" t="str">
        <v>Session Dialogue</v>
      </c>
      <c r="I103" t="str">
        <v/>
      </c>
      <c r="J103" t="str">
        <v>REST</v>
      </c>
      <c r="K103" t="str">
        <v>APIM</v>
      </c>
      <c r="L103" t="str">
        <v/>
      </c>
      <c r="M103" t="str">
        <v>v1.0.0</v>
      </c>
      <c r="N103" t="str">
        <v>2026-06-02</v>
      </c>
      <c r="O103" t="str">
        <v/>
      </c>
    </row>
    <row r="104">
      <c r="A104" t="str">
        <v>D0103</v>
      </c>
      <c r="B104" t="str">
        <v>Perú</v>
      </c>
      <c r="C104" t="str">
        <v/>
      </c>
      <c r="D104" t="str">
        <v/>
      </c>
      <c r="E104" t="str">
        <v>SD</v>
      </c>
      <c r="F104" t="str">
        <v>Sales and Service</v>
      </c>
      <c r="G104" t="str">
        <v>Customer Management</v>
      </c>
      <c r="H104" t="str">
        <v>Customer Behavior Insights</v>
      </c>
      <c r="I104" t="str">
        <v/>
      </c>
      <c r="J104" t="str">
        <v>REST</v>
      </c>
      <c r="K104" t="str">
        <v>APIM</v>
      </c>
      <c r="L104" t="str">
        <v/>
      </c>
      <c r="M104" t="str">
        <v>v1.0.0</v>
      </c>
      <c r="N104" t="str">
        <v>2026-06-02</v>
      </c>
      <c r="O104" t="str">
        <v/>
      </c>
    </row>
    <row r="105">
      <c r="A105" t="str">
        <v>D0104</v>
      </c>
      <c r="B105" t="str">
        <v>Perú</v>
      </c>
      <c r="C105" t="str">
        <v/>
      </c>
      <c r="D105" t="str">
        <v/>
      </c>
      <c r="E105" t="str">
        <v>SD</v>
      </c>
      <c r="F105" t="str">
        <v>Risk and Compliance</v>
      </c>
      <c r="G105" t="str">
        <v>Models</v>
      </c>
      <c r="H105" t="str">
        <v>Customer Behavior Models</v>
      </c>
      <c r="I105" t="str">
        <v/>
      </c>
      <c r="J105" t="str">
        <v>REST</v>
      </c>
      <c r="K105" t="str">
        <v>APIM</v>
      </c>
      <c r="L105" t="str">
        <v/>
      </c>
      <c r="M105" t="str">
        <v>v1.0.0</v>
      </c>
      <c r="N105" t="str">
        <v>2026-06-02</v>
      </c>
      <c r="O105" t="str">
        <v/>
      </c>
    </row>
    <row r="106">
      <c r="A106" t="str">
        <v>D0105</v>
      </c>
      <c r="B106" t="str">
        <v>Perú</v>
      </c>
      <c r="C106" t="str">
        <v/>
      </c>
      <c r="D106" t="str">
        <v/>
      </c>
      <c r="E106" t="str">
        <v>SD</v>
      </c>
      <c r="F106" t="str">
        <v>Reference Data</v>
      </c>
      <c r="G106" t="str">
        <v>Product Management</v>
      </c>
      <c r="H106" t="str">
        <v>Product Design</v>
      </c>
      <c r="I106" t="str">
        <v/>
      </c>
      <c r="J106" t="str">
        <v>REST</v>
      </c>
      <c r="K106" t="str">
        <v>APIM</v>
      </c>
      <c r="L106" t="str">
        <v/>
      </c>
      <c r="M106" t="str">
        <v>v1.0.0</v>
      </c>
      <c r="N106" t="str">
        <v>2026-06-02</v>
      </c>
      <c r="O106" t="str">
        <v/>
      </c>
    </row>
    <row r="107">
      <c r="A107" t="str">
        <v>D0106</v>
      </c>
      <c r="B107" t="str">
        <v>Perú</v>
      </c>
      <c r="C107" t="str">
        <v/>
      </c>
      <c r="D107" t="str">
        <v/>
      </c>
      <c r="E107" t="str">
        <v>SD</v>
      </c>
      <c r="F107" t="str">
        <v>Reference Data</v>
      </c>
      <c r="G107" t="str">
        <v>Product Management</v>
      </c>
      <c r="H107" t="str">
        <v>Product Deployment</v>
      </c>
      <c r="I107" t="str">
        <v/>
      </c>
      <c r="J107" t="str">
        <v>REST</v>
      </c>
      <c r="K107" t="str">
        <v>APIM</v>
      </c>
      <c r="L107" t="str">
        <v/>
      </c>
      <c r="M107" t="str">
        <v>v1.0.0</v>
      </c>
      <c r="N107" t="str">
        <v>2026-06-02</v>
      </c>
      <c r="O107" t="str">
        <v/>
      </c>
    </row>
    <row r="108">
      <c r="A108" t="str">
        <v>D0107</v>
      </c>
      <c r="B108" t="str">
        <v>Perú</v>
      </c>
      <c r="C108" t="str">
        <v/>
      </c>
      <c r="D108" t="str">
        <v/>
      </c>
      <c r="E108" t="str">
        <v>SD</v>
      </c>
      <c r="F108" t="str">
        <v>Sales and Service</v>
      </c>
      <c r="G108" t="str">
        <v>Sales</v>
      </c>
      <c r="H108" t="str">
        <v>Commissions</v>
      </c>
      <c r="I108" t="str">
        <v/>
      </c>
      <c r="J108" t="str">
        <v>REST</v>
      </c>
      <c r="K108" t="str">
        <v>APIM</v>
      </c>
      <c r="L108" t="str">
        <v/>
      </c>
      <c r="M108" t="str">
        <v>v1.0.0</v>
      </c>
      <c r="N108" t="str">
        <v>2026-06-02</v>
      </c>
      <c r="O108" t="str">
        <v/>
      </c>
    </row>
    <row r="109">
      <c r="A109" t="str">
        <v>D0108</v>
      </c>
      <c r="B109" t="str">
        <v>Perú</v>
      </c>
      <c r="C109" t="str">
        <v/>
      </c>
      <c r="D109" t="str">
        <v/>
      </c>
      <c r="E109" t="str">
        <v>SD</v>
      </c>
      <c r="F109" t="str">
        <v>Products</v>
      </c>
      <c r="G109" t="str">
        <v>Loans and Deposits</v>
      </c>
      <c r="H109" t="str">
        <v>Term Deposit</v>
      </c>
      <c r="I109" t="str">
        <v/>
      </c>
      <c r="J109" t="str">
        <v>REST</v>
      </c>
      <c r="K109" t="str">
        <v>APIM</v>
      </c>
      <c r="L109" t="str">
        <v/>
      </c>
      <c r="M109" t="str">
        <v>v1.0.0</v>
      </c>
      <c r="N109" t="str">
        <v>2026-06-09</v>
      </c>
      <c r="O109" t="str">
        <v>En Desarrollo</v>
      </c>
    </row>
    <row r="110">
      <c r="A110" t="str">
        <v>D0109</v>
      </c>
      <c r="B110" t="str">
        <v>Perú</v>
      </c>
      <c r="C110" t="str">
        <v/>
      </c>
      <c r="D110" t="str">
        <v/>
      </c>
      <c r="E110" t="str">
        <v>SD</v>
      </c>
      <c r="F110" t="str">
        <v>Products</v>
      </c>
      <c r="G110" t="str">
        <v>Consumer Services</v>
      </c>
      <c r="H110" t="str">
        <v>Currency Exchange</v>
      </c>
      <c r="I110" t="str">
        <v/>
      </c>
      <c r="J110" t="str">
        <v>REST</v>
      </c>
      <c r="K110" t="str">
        <v>APIM</v>
      </c>
      <c r="L110" t="str">
        <v/>
      </c>
      <c r="M110" t="str">
        <v>v1.0.0</v>
      </c>
      <c r="N110" t="str">
        <v>2026-06-10</v>
      </c>
      <c r="O110" t="str">
        <v>En Desarrollo</v>
      </c>
    </row>
    <row r="111">
      <c r="A111" t="str">
        <v>D0110</v>
      </c>
      <c r="B111" t="str">
        <v>Perú</v>
      </c>
      <c r="C111" t="str">
        <v/>
      </c>
      <c r="D111" t="str">
        <v/>
      </c>
      <c r="E111" t="str">
        <v>SD</v>
      </c>
      <c r="F111" t="str">
        <v>Sales and Service</v>
      </c>
      <c r="G111" t="str">
        <v>Customer Management</v>
      </c>
      <c r="H111" t="str">
        <v>Customer Event History</v>
      </c>
      <c r="I111" t="str">
        <v/>
      </c>
      <c r="J111" t="str">
        <v>REST</v>
      </c>
      <c r="K111" t="str">
        <v>APIM</v>
      </c>
      <c r="L111" t="str">
        <v/>
      </c>
      <c r="M111" t="str">
        <v>v1.0.0</v>
      </c>
      <c r="N111" t="str">
        <v>2026-06-05</v>
      </c>
      <c r="O111" t="str">
        <v>En Desarrollo</v>
      </c>
    </row>
    <row r="112">
      <c r="A112" t="str">
        <v>D0111</v>
      </c>
      <c r="B112" t="str">
        <v>Perú</v>
      </c>
      <c r="C112" t="str">
        <v/>
      </c>
      <c r="D112" t="str">
        <v/>
      </c>
      <c r="E112" t="str">
        <v>SD</v>
      </c>
      <c r="F112" t="str">
        <v>Operations and Execution</v>
      </c>
      <c r="G112" t="str">
        <v>Collateral Administration</v>
      </c>
      <c r="H112" t="str">
        <v>Collateral Asset Administration</v>
      </c>
      <c r="I112" t="str">
        <v/>
      </c>
      <c r="J112" t="str">
        <v>REST</v>
      </c>
      <c r="K112" t="str">
        <v>APIM</v>
      </c>
      <c r="L112" t="str">
        <v/>
      </c>
      <c r="M112" t="str">
        <v>v1.0.0</v>
      </c>
      <c r="N112" t="str">
        <v>2026-06-05</v>
      </c>
      <c r="O112" t="str">
        <v>En Desarrollo</v>
      </c>
    </row>
    <row r="113">
      <c r="A113" t="str">
        <v>D0112</v>
      </c>
      <c r="B113" t="str">
        <v>Perú</v>
      </c>
      <c r="C113" t="str">
        <v/>
      </c>
      <c r="D113" t="str">
        <v/>
      </c>
      <c r="E113" t="str">
        <v>SD</v>
      </c>
      <c r="F113" t="str">
        <v>Reference Data</v>
      </c>
      <c r="G113" t="str">
        <v>External Agency</v>
      </c>
      <c r="H113" t="str">
        <v>Information Provider Administration</v>
      </c>
      <c r="I113" t="str">
        <v/>
      </c>
      <c r="J113" t="str">
        <v>REST</v>
      </c>
      <c r="K113" t="str">
        <v>APIM</v>
      </c>
      <c r="L113" t="str">
        <v/>
      </c>
      <c r="M113" t="str">
        <v>v1.0.0</v>
      </c>
      <c r="N113" t="str">
        <v>2026-06-03</v>
      </c>
      <c r="O113" t="str">
        <v>En Desarrollo</v>
      </c>
    </row>
    <row r="114">
      <c r="A114" t="str">
        <v>D0113</v>
      </c>
      <c r="B114" t="str">
        <v>Perú</v>
      </c>
      <c r="C114" t="str">
        <v/>
      </c>
      <c r="D114" t="str">
        <v/>
      </c>
      <c r="E114" t="str">
        <v>SD</v>
      </c>
      <c r="F114" t="str">
        <v>Sales and Service</v>
      </c>
      <c r="G114" t="str">
        <v>Sales</v>
      </c>
      <c r="H114" t="str">
        <v>Customer Credit Rating</v>
      </c>
      <c r="I114" t="str">
        <v/>
      </c>
      <c r="J114" t="str">
        <v>REST</v>
      </c>
      <c r="K114" t="str">
        <v>APIM</v>
      </c>
      <c r="L114" t="str">
        <v/>
      </c>
      <c r="M114" t="str">
        <v>v1.0.0</v>
      </c>
      <c r="N114" t="str">
        <v>2026-07-07</v>
      </c>
      <c r="O114" t="str">
        <v>En Desarrollo</v>
      </c>
    </row>
    <row r="115">
      <c r="A115" t="str">
        <v>D0115</v>
      </c>
      <c r="B115" t="str">
        <v>Perú</v>
      </c>
      <c r="C115" t="str">
        <v/>
      </c>
      <c r="D115" t="str">
        <v/>
      </c>
      <c r="E115" t="str">
        <v>EXP</v>
      </c>
      <c r="F115" t="str">
        <v/>
      </c>
      <c r="G115" t="str">
        <v/>
      </c>
      <c r="H115" t="str">
        <v>Servicing Order</v>
      </c>
      <c r="I115" t="str">
        <v/>
      </c>
      <c r="J115" t="str">
        <v>REST</v>
      </c>
      <c r="K115" t="str">
        <v>APIM</v>
      </c>
      <c r="L115" t="str">
        <v/>
      </c>
      <c r="M115" t="str">
        <v>v1.0.0</v>
      </c>
      <c r="N115" t="str">
        <v>2026-06-24</v>
      </c>
      <c r="O115" t="str">
        <v>Activa</v>
      </c>
    </row>
    <row r="116">
      <c r="A116" t="str">
        <v>D0116</v>
      </c>
      <c r="B116" t="str">
        <v>Perú</v>
      </c>
      <c r="C116" t="str">
        <v/>
      </c>
      <c r="D116" t="str">
        <v/>
      </c>
      <c r="E116" t="str">
        <v>BS</v>
      </c>
      <c r="F116" t="str">
        <v/>
      </c>
      <c r="G116" t="str">
        <v/>
      </c>
      <c r="H116" t="str">
        <v>Servicing Order</v>
      </c>
      <c r="I116" t="str">
        <v/>
      </c>
      <c r="J116" t="str">
        <v>REST</v>
      </c>
      <c r="K116" t="str">
        <v>APIM</v>
      </c>
      <c r="L116" t="str">
        <v/>
      </c>
      <c r="M116" t="str">
        <v>v1.0.0</v>
      </c>
      <c r="N116" t="str">
        <v>2026-06-24</v>
      </c>
      <c r="O116" t="str">
        <v>Activa</v>
      </c>
    </row>
    <row r="117">
      <c r="A117" t="str">
        <v>D0117</v>
      </c>
      <c r="B117" t="str">
        <v>Perú</v>
      </c>
      <c r="C117" t="str">
        <v/>
      </c>
      <c r="D117" t="str">
        <v/>
      </c>
      <c r="E117" t="str">
        <v>EXP</v>
      </c>
      <c r="F117" t="str">
        <v/>
      </c>
      <c r="G117" t="str">
        <v/>
      </c>
      <c r="H117" t="str">
        <v>Consumer Loan</v>
      </c>
      <c r="I117" t="str">
        <v/>
      </c>
      <c r="J117" t="str">
        <v>REST</v>
      </c>
      <c r="K117" t="str">
        <v>APIM</v>
      </c>
      <c r="L117" t="str">
        <v/>
      </c>
      <c r="M117" t="str">
        <v>v1.0.0</v>
      </c>
      <c r="N117" t="str">
        <v>2026-06-24</v>
      </c>
      <c r="O117" t="str">
        <v>Activa</v>
      </c>
    </row>
    <row r="118">
      <c r="A118" t="str">
        <v>D0118</v>
      </c>
      <c r="B118" t="str">
        <v>Perú</v>
      </c>
      <c r="C118" t="str">
        <v/>
      </c>
      <c r="D118" t="str">
        <v/>
      </c>
      <c r="E118" t="str">
        <v>BS</v>
      </c>
      <c r="F118" t="str">
        <v/>
      </c>
      <c r="G118" t="str">
        <v/>
      </c>
      <c r="H118" t="str">
        <v>Consumer Loan</v>
      </c>
      <c r="I118" t="str">
        <v/>
      </c>
      <c r="J118" t="str">
        <v>REST</v>
      </c>
      <c r="K118" t="str">
        <v>APIM</v>
      </c>
      <c r="L118" t="str">
        <v/>
      </c>
      <c r="M118" t="str">
        <v>v1.0.0</v>
      </c>
      <c r="N118" t="str">
        <v>2026-06-24</v>
      </c>
      <c r="O118" t="str">
        <v>Activa</v>
      </c>
    </row>
    <row r="119">
      <c r="A119" t="str">
        <v>D0119</v>
      </c>
      <c r="B119" t="str">
        <v>Perú</v>
      </c>
      <c r="C119" t="str">
        <v/>
      </c>
      <c r="D119" t="str">
        <v/>
      </c>
      <c r="E119" t="str">
        <v>BS</v>
      </c>
      <c r="F119" t="str">
        <v/>
      </c>
      <c r="G119" t="str">
        <v/>
      </c>
      <c r="H119" t="str">
        <v>Saving Account</v>
      </c>
      <c r="I119" t="str">
        <v/>
      </c>
      <c r="J119" t="str">
        <v>REST</v>
      </c>
      <c r="K119" t="str">
        <v>APIM</v>
      </c>
      <c r="L119" t="str">
        <v/>
      </c>
      <c r="M119" t="str">
        <v>v1.0.0</v>
      </c>
      <c r="N119" t="str">
        <v>2026-06-24</v>
      </c>
      <c r="O119" t="str">
        <v>Activa</v>
      </c>
    </row>
    <row r="120">
      <c r="A120" t="str">
        <v>D0120</v>
      </c>
      <c r="B120" t="str">
        <v>Perú</v>
      </c>
      <c r="C120" t="str">
        <v/>
      </c>
      <c r="D120" t="str">
        <v/>
      </c>
      <c r="E120" t="str">
        <v>BS</v>
      </c>
      <c r="F120" t="str">
        <v/>
      </c>
      <c r="G120" t="str">
        <v/>
      </c>
      <c r="H120" t="str">
        <v>Consumer Loan</v>
      </c>
      <c r="I120" t="str">
        <v/>
      </c>
      <c r="J120" t="str">
        <v>REST</v>
      </c>
      <c r="K120" t="str">
        <v>APIM</v>
      </c>
      <c r="L120" t="str">
        <v/>
      </c>
      <c r="M120" t="str">
        <v>v1.0.0</v>
      </c>
      <c r="N120" t="str">
        <v>2026-06-24</v>
      </c>
      <c r="O120" t="str">
        <v>Activa</v>
      </c>
    </row>
    <row r="121">
      <c r="A121" t="str">
        <v>D0121</v>
      </c>
      <c r="B121" t="str">
        <v>Perú</v>
      </c>
      <c r="C121" t="str">
        <v/>
      </c>
      <c r="D121" t="str">
        <v/>
      </c>
      <c r="E121" t="str">
        <v>BS</v>
      </c>
      <c r="F121" t="str">
        <v>Operations</v>
      </c>
      <c r="G121" t="str">
        <v>Account Management</v>
      </c>
      <c r="H121" t="str">
        <v>Deteccion Fraude</v>
      </c>
      <c r="I121" t="str">
        <v/>
      </c>
      <c r="J121" t="str">
        <v>REST</v>
      </c>
      <c r="K121" t="str">
        <v>APIM</v>
      </c>
      <c r="L121" t="str">
        <v/>
      </c>
      <c r="M121" t="str">
        <v>v1.0.0</v>
      </c>
      <c r="N121" t="str">
        <v>2026-06-25</v>
      </c>
      <c r="O121" t="str">
        <v>Activa</v>
      </c>
    </row>
    <row r="122">
      <c r="A122" t="str">
        <v>D0122</v>
      </c>
      <c r="B122" t="str">
        <v>Perú</v>
      </c>
      <c r="C122" t="str">
        <v/>
      </c>
      <c r="D122" t="str">
        <v/>
      </c>
      <c r="E122" t="str">
        <v>BS</v>
      </c>
      <c r="F122" t="str">
        <v>Creditos</v>
      </c>
      <c r="G122" t="str">
        <v>Operaciones Desembolso</v>
      </c>
      <c r="H122" t="str">
        <v>opereraciones credito desembolso</v>
      </c>
      <c r="I122" t="str">
        <v/>
      </c>
      <c r="J122" t="str">
        <v>REST</v>
      </c>
      <c r="K122" t="str">
        <v>APIM</v>
      </c>
      <c r="L122" t="str">
        <v/>
      </c>
      <c r="M122" t="str">
        <v>v1.0.0</v>
      </c>
      <c r="N122" t="str">
        <v>2026-06-25</v>
      </c>
      <c r="O122" t="str">
        <v>Activa</v>
      </c>
    </row>
    <row r="123">
      <c r="A123" t="str">
        <v>D0123</v>
      </c>
      <c r="B123" t="str">
        <v>Perú</v>
      </c>
      <c r="C123" t="str">
        <v/>
      </c>
      <c r="D123" t="str">
        <v/>
      </c>
      <c r="E123" t="str">
        <v>BS</v>
      </c>
      <c r="F123" t="str">
        <v>Pagos</v>
      </c>
      <c r="G123" t="str">
        <v>Pago de prestamo</v>
      </c>
      <c r="H123" t="str">
        <v>gestion pago prestamo</v>
      </c>
      <c r="I123" t="str">
        <v/>
      </c>
      <c r="J123" t="str">
        <v>REST</v>
      </c>
      <c r="K123" t="str">
        <v>APIM</v>
      </c>
      <c r="L123" t="str">
        <v/>
      </c>
      <c r="M123" t="str">
        <v>v1.0.0</v>
      </c>
      <c r="N123" t="str">
        <v>2026-06-25</v>
      </c>
      <c r="O123" t="str">
        <v>Activa</v>
      </c>
    </row>
    <row r="124">
      <c r="A124" t="str">
        <v>D0124</v>
      </c>
      <c r="B124" t="str">
        <v>Perú</v>
      </c>
      <c r="C124" t="str">
        <v/>
      </c>
      <c r="D124" t="str">
        <v/>
      </c>
      <c r="E124" t="str">
        <v>SD</v>
      </c>
      <c r="F124" t="str">
        <v>Sales and Service</v>
      </c>
      <c r="G124" t="str">
        <v>Sales</v>
      </c>
      <c r="H124" t="str">
        <v>Product Matching</v>
      </c>
      <c r="I124" t="str">
        <v/>
      </c>
      <c r="J124" t="str">
        <v>REST</v>
      </c>
      <c r="K124" t="str">
        <v>APIM</v>
      </c>
      <c r="L124" t="str">
        <v/>
      </c>
      <c r="M124" t="str">
        <v>v1.0.0</v>
      </c>
      <c r="N124" t="str">
        <v>2026-07-02</v>
      </c>
      <c r="O124" t="str">
        <v>En Desarrollo</v>
      </c>
    </row>
    <row r="125">
      <c r="A125" t="str">
        <v>D0125</v>
      </c>
      <c r="B125" t="str">
        <v>Perú</v>
      </c>
      <c r="C125" t="str">
        <v/>
      </c>
      <c r="D125" t="str">
        <v/>
      </c>
      <c r="E125" t="str">
        <v>SD</v>
      </c>
      <c r="F125" t="str">
        <v>Reference Data</v>
      </c>
      <c r="G125" t="str">
        <v>External Agency</v>
      </c>
      <c r="H125" t="str">
        <v>Service Provider Operations</v>
      </c>
      <c r="I125" t="str">
        <v/>
      </c>
      <c r="J125" t="str">
        <v>REST</v>
      </c>
      <c r="K125" t="str">
        <v>APIM</v>
      </c>
      <c r="L125" t="str">
        <v/>
      </c>
      <c r="M125" t="str">
        <v>v1.0.0</v>
      </c>
      <c r="N125" t="str">
        <v>2026-07-02</v>
      </c>
      <c r="O125" t="str">
        <v>En Desarrollo</v>
      </c>
    </row>
    <row r="126">
      <c r="A126" t="str">
        <v>D0126</v>
      </c>
      <c r="B126" t="str">
        <v>Perú</v>
      </c>
      <c r="C126" t="str">
        <v/>
      </c>
      <c r="D126" t="str">
        <v/>
      </c>
      <c r="E126" t="str">
        <v>SD</v>
      </c>
      <c r="F126" t="str">
        <v>Sales and Service</v>
      </c>
      <c r="G126" t="str">
        <v>Sales</v>
      </c>
      <c r="H126" t="str">
        <v>Party Lifecycle Management</v>
      </c>
      <c r="I126" t="str">
        <v/>
      </c>
      <c r="J126" t="str">
        <v>REST</v>
      </c>
      <c r="K126" t="str">
        <v>APIM</v>
      </c>
      <c r="L126" t="str">
        <v/>
      </c>
      <c r="M126" t="str">
        <v>v1.0.0</v>
      </c>
      <c r="N126" t="str">
        <v>2026-07-02</v>
      </c>
      <c r="O126" t="str">
        <v>En Desarrollo</v>
      </c>
    </row>
    <row r="127">
      <c r="A127" t="str">
        <v>D0127</v>
      </c>
      <c r="B127" t="str">
        <v>Perú</v>
      </c>
      <c r="C127" t="str">
        <v/>
      </c>
      <c r="D127" t="str">
        <v/>
      </c>
      <c r="E127" t="str">
        <v>SD</v>
      </c>
      <c r="F127" t="str">
        <v>Business Support</v>
      </c>
      <c r="G127" t="str">
        <v>Document Management and Archive</v>
      </c>
      <c r="H127" t="str">
        <v>Document Directory</v>
      </c>
      <c r="I127" t="str">
        <v/>
      </c>
      <c r="J127" t="str">
        <v>REST</v>
      </c>
      <c r="K127" t="str">
        <v>APIM</v>
      </c>
      <c r="L127" t="str">
        <v/>
      </c>
      <c r="M127" t="str">
        <v>v1.0.0</v>
      </c>
      <c r="N127" t="str">
        <v>2026-07-02</v>
      </c>
      <c r="O127" t="str">
        <v>En Desarrollo</v>
      </c>
    </row>
    <row r="128">
      <c r="A128" t="str">
        <v>D0128</v>
      </c>
      <c r="B128" t="str">
        <v>Perú</v>
      </c>
      <c r="C128" t="str">
        <v/>
      </c>
      <c r="D128" t="str">
        <v/>
      </c>
      <c r="E128" t="str">
        <v>SD</v>
      </c>
      <c r="F128" t="str">
        <v>Operations and Execution</v>
      </c>
      <c r="G128" t="str">
        <v>Operational Services</v>
      </c>
      <c r="H128" t="str">
        <v>Internal Bank Account</v>
      </c>
      <c r="I128" t="str">
        <v/>
      </c>
      <c r="J128" t="str">
        <v>REST</v>
      </c>
      <c r="K128" t="str">
        <v>APIM</v>
      </c>
      <c r="L128" t="str">
        <v/>
      </c>
      <c r="M128" t="str">
        <v>v1.0.0</v>
      </c>
      <c r="N128" t="str">
        <v>2026-07-02</v>
      </c>
      <c r="O128" t="str">
        <v>En Desarrollo</v>
      </c>
    </row>
    <row r="129">
      <c r="A129" t="str">
        <v>D0129</v>
      </c>
      <c r="B129" t="str">
        <v>Perú</v>
      </c>
      <c r="C129" t="str">
        <v>[API SD] customer-case-mgmt</v>
      </c>
      <c r="D129" t="str">
        <v>Registro de reclamos de clientes - proceso las reglas asociada el regsitro de casos de reclamos de los clientes</v>
      </c>
      <c r="E129" t="str">
        <v>SD</v>
      </c>
      <c r="F129" t="str">
        <v>Servicing</v>
      </c>
      <c r="G129" t="str">
        <v>Sales and Service</v>
      </c>
      <c r="H129" t="str">
        <v>Customer Case Management</v>
      </c>
      <c r="I129" t="str">
        <v>Media</v>
      </c>
      <c r="J129" t="str">
        <v>REST</v>
      </c>
      <c r="K129" t="str">
        <v>APIM</v>
      </c>
      <c r="L129" t="str">
        <v/>
      </c>
      <c r="M129" t="str">
        <v>v1.0.0</v>
      </c>
      <c r="N129" t="str">
        <v>2026-07-21</v>
      </c>
      <c r="O129" t="str">
        <v>Activa</v>
      </c>
    </row>
    <row r="130">
      <c r="A130" t="str">
        <v>D0130</v>
      </c>
      <c r="B130" t="str">
        <v>Perú</v>
      </c>
      <c r="C130" t="str">
        <v>[API EXP] customer-case-mgmt</v>
      </c>
      <c r="D130" t="str">
        <v>Canaliza el regsitro de casos de reclamos de los clientes</v>
      </c>
      <c r="E130" t="str">
        <v>EXP</v>
      </c>
      <c r="F130" t="str">
        <v/>
      </c>
      <c r="G130" t="str">
        <v/>
      </c>
      <c r="H130" t="str">
        <v/>
      </c>
      <c r="I130" t="str">
        <v>Baja</v>
      </c>
      <c r="J130" t="str">
        <v>REST</v>
      </c>
      <c r="K130" t="str">
        <v>APIM</v>
      </c>
      <c r="L130" t="str">
        <v/>
      </c>
      <c r="M130" t="str">
        <v>v1.0.0</v>
      </c>
      <c r="N130" t="str">
        <v>2026-07-21</v>
      </c>
      <c r="O130" t="str">
        <v>Activa</v>
      </c>
    </row>
    <row r="131">
      <c r="A131" t="str">
        <v>D0131</v>
      </c>
      <c r="B131" t="str">
        <v>Perú</v>
      </c>
      <c r="C131" t="str">
        <v>[API SYS] customer-case-mgmt-create</v>
      </c>
      <c r="D131" t="str">
        <v>Registra información de reclamos en la db</v>
      </c>
      <c r="E131" t="str">
        <v>SYS</v>
      </c>
      <c r="F131" t="str">
        <v/>
      </c>
      <c r="G131" t="str">
        <v/>
      </c>
      <c r="H131" t="str">
        <v/>
      </c>
      <c r="I131" t="str">
        <v>Baja</v>
      </c>
      <c r="J131" t="str">
        <v>REST</v>
      </c>
      <c r="K131" t="str">
        <v>APIM</v>
      </c>
      <c r="L131" t="str">
        <v/>
      </c>
      <c r="M131" t="str">
        <v>v1.0.0</v>
      </c>
      <c r="N131" t="str">
        <v>2026-07-21</v>
      </c>
      <c r="O131" t="str">
        <v>Activa</v>
      </c>
    </row>
  </sheetData>
  <ignoredErrors>
    <ignoredError numberStoredAsText="1" sqref="A1:O131"/>
  </ignoredErrors>
</worksheet>
</file>

<file path=xl/worksheets/sheet2.xml><?xml version="1.0" encoding="utf-8"?>
<worksheet xmlns="http://schemas.openxmlformats.org/spreadsheetml/2006/main" xmlns:r="http://schemas.openxmlformats.org/officeDocument/2006/relationships">
  <dimension ref="A1:G101"/>
  <sheetViews>
    <sheetView workbookViewId="0"/>
  </sheetViews>
  <cols>
    <col min="1" max="1" width="14.83203125" customWidth="1"/>
    <col min="2" max="2" width="12.83203125" customWidth="1"/>
    <col min="3" max="3" width="13.83203125" customWidth="1"/>
    <col min="4" max="4" width="17.83203125" customWidth="1"/>
    <col min="5" max="5" width="23.83203125" customWidth="1"/>
    <col min="6" max="6" width="15.83203125" customWidth="1"/>
    <col min="7" max="7" width="18.83203125" customWidth="1"/>
  </cols>
  <sheetData>
    <row r="1">
      <c r="A1" t="str">
        <v>ID Operación</v>
      </c>
      <c r="B1" t="str">
        <v>ID API</v>
      </c>
      <c r="C1" t="str">
        <v>Método HTTP</v>
      </c>
      <c r="D1" t="str">
        <v>Path - Endpoint</v>
      </c>
      <c r="E1" t="str">
        <v>Descripción Operación</v>
      </c>
      <c r="F1" t="str">
        <v>Versión Desde</v>
      </c>
      <c r="G1" t="str">
        <v>Estado Operación</v>
      </c>
    </row>
    <row r="2">
      <c r="A2" t="str">
        <v>OP-0001</v>
      </c>
      <c r="B2" t="str">
        <v>D0001</v>
      </c>
      <c r="C2" t="str">
        <v>GET</v>
      </c>
      <c r="D2" t="str">
        <v>api/sd/credit-facility/v1/{creditfacilityid}/retrieve</v>
      </c>
      <c r="E2" t="str">
        <v>gestiona el ciclo de vida de lineas de crédito, desde la apertura hasta el mantenimiento.</v>
      </c>
      <c r="F2" t="str">
        <v>v1.0.0</v>
      </c>
      <c r="G2" t="str">
        <v>Activa</v>
      </c>
    </row>
    <row r="3">
      <c r="A3" t="str">
        <v>OP-0002</v>
      </c>
      <c r="B3" t="str">
        <v>D0002</v>
      </c>
      <c r="C3" t="str">
        <v>POST</v>
      </c>
      <c r="D3" t="str">
        <v>api/sd/cust-credit-rating/v1/external-reporting/rcc-sumary-score-risk/retrieve</v>
      </c>
      <c r="E3" t="str">
        <v>calcula y mantiene la calificación crediticia del cliente, integrando datos internos y externos</v>
      </c>
      <c r="F3" t="str">
        <v>v1.0.0</v>
      </c>
      <c r="G3" t="str">
        <v>Activa</v>
      </c>
    </row>
    <row r="4">
      <c r="A4" t="str">
        <v>OP-0003</v>
      </c>
      <c r="B4" t="str">
        <v>D0003</v>
      </c>
      <c r="C4" t="str">
        <v>POST</v>
      </c>
      <c r="D4" t="str">
        <v>api/sd/cust-product-svc-dir/v1/customer-associate/loan-product/retrieve</v>
      </c>
      <c r="E4" t="str">
        <v>mantiene el registro de todos los productos y servicios adquiridos por el cliente, incluyendo configuraciones y estado actual</v>
      </c>
      <c r="F4" t="str">
        <v>v1.0.0</v>
      </c>
      <c r="G4" t="str">
        <v>Activa</v>
      </c>
    </row>
    <row r="5">
      <c r="A5" t="str">
        <v>OP-0004</v>
      </c>
      <c r="B5" t="str">
        <v>D0003</v>
      </c>
      <c r="C5" t="str">
        <v>GET</v>
      </c>
      <c r="D5" t="str">
        <v>api/sd/cust-product-svc-dir/v1/customer/{customerid}/product/{productid}/retrieve</v>
      </c>
      <c r="E5" t="str">
        <v>mantiene el registro de todos los productos y servicios adquiridos por el cliente, incluyendo configuraciones y estado actual</v>
      </c>
      <c r="F5" t="str">
        <v>v1.0.0</v>
      </c>
      <c r="G5" t="str">
        <v>Activa</v>
      </c>
    </row>
    <row r="6">
      <c r="A6" t="str">
        <v>OP-0005</v>
      </c>
      <c r="B6" t="str">
        <v>D0004</v>
      </c>
      <c r="C6" t="str">
        <v>POST</v>
      </c>
      <c r="D6" t="str">
        <v>api/proc/eval-credit-risk/v1/total-risk-eval</v>
      </c>
      <c r="E6" t="str">
        <v>Exposicion de las API's de Evaluacion de Riesgo Crediticio</v>
      </c>
      <c r="F6" t="str">
        <v>v1.0.0</v>
      </c>
      <c r="G6" t="str">
        <v>Activa</v>
      </c>
    </row>
    <row r="7">
      <c r="A7" t="str">
        <v>OP-0006</v>
      </c>
      <c r="B7" t="str">
        <v>D0004</v>
      </c>
      <c r="C7" t="str">
        <v>POST</v>
      </c>
      <c r="D7" t="str">
        <v>api/proc/eval-credit-risk/v1/fin-statement-assessment-eval</v>
      </c>
      <c r="E7" t="str">
        <v>Exposicion de las API's de Evaluacion de Riesgo Crediticio</v>
      </c>
      <c r="F7" t="str">
        <v>v1.0.0</v>
      </c>
      <c r="G7" t="str">
        <v>Activa</v>
      </c>
    </row>
    <row r="8">
      <c r="A8" t="str">
        <v>OP-0007</v>
      </c>
      <c r="B8" t="str">
        <v>D0004</v>
      </c>
      <c r="C8" t="str">
        <v>GET</v>
      </c>
      <c r="D8" t="str">
        <v>api/proc/eval-credit-risk/v1/fin-statement-assessment/{financialstatementid}</v>
      </c>
      <c r="E8" t="str">
        <v>Exposicion de las API's de Evaluacion de Riesgo Crediticio</v>
      </c>
      <c r="F8" t="str">
        <v>v1.0.0</v>
      </c>
      <c r="G8" t="str">
        <v>Activa</v>
      </c>
    </row>
    <row r="9">
      <c r="A9" t="str">
        <v>OP-0008</v>
      </c>
      <c r="B9" t="str">
        <v>D0004</v>
      </c>
      <c r="C9" t="str">
        <v>POST</v>
      </c>
      <c r="D9" t="str">
        <v>api/proc/eval-credit-risk/v1/underwriting-eval</v>
      </c>
      <c r="E9" t="str">
        <v>Exposicion de las API's de Evaluacion de Riesgo Crediticio</v>
      </c>
      <c r="F9" t="str">
        <v>v1.0.0</v>
      </c>
      <c r="G9" t="str">
        <v>Activa</v>
      </c>
    </row>
    <row r="10">
      <c r="A10" t="str">
        <v>OP-0009</v>
      </c>
      <c r="B10" t="str">
        <v>D0004</v>
      </c>
      <c r="C10" t="str">
        <v>GET</v>
      </c>
      <c r="D10" t="str">
        <v>api/proc/eval-credit-risk/v1/underwriting/{underwritingid}</v>
      </c>
      <c r="E10" t="str">
        <v>Exposicion de las API's de Evaluacion de Riesgo Crediticio</v>
      </c>
      <c r="F10" t="str">
        <v>v1.0.0</v>
      </c>
      <c r="G10" t="str">
        <v>Activa</v>
      </c>
    </row>
    <row r="11">
      <c r="A11" t="str">
        <v>OP-0010</v>
      </c>
      <c r="B11" t="str">
        <v>D0005</v>
      </c>
      <c r="C11" t="str">
        <v>POST</v>
      </c>
      <c r="D11" t="str">
        <v>api/sd/fin-statement-assessment/v1/{financialstatementassessmentid}/retrieve</v>
      </c>
      <c r="E11" t="str">
        <v>soporta un conjunto amplio de cálculos y evaluaciones aplicadas a estados financieros provenientes de clientes corporativos o unidades internas</v>
      </c>
      <c r="F11" t="str">
        <v>v1.0.0</v>
      </c>
      <c r="G11" t="str">
        <v>Activa</v>
      </c>
    </row>
    <row r="12">
      <c r="A12" t="str">
        <v>OP-0011</v>
      </c>
      <c r="B12" t="str">
        <v>D0005</v>
      </c>
      <c r="C12" t="str">
        <v>GET</v>
      </c>
      <c r="D12" t="str">
        <v>api/sd/fin-statement-assessment/v1/{financialstatementassessmentid}/retrieve</v>
      </c>
      <c r="E12" t="str">
        <v>soporta un conjunto amplio de cálculos y evaluaciones aplicadas a estados financieros provenientes de clientes corporativos o unidades internas</v>
      </c>
      <c r="F12" t="str">
        <v>v1.0.0</v>
      </c>
      <c r="G12" t="str">
        <v>Activa</v>
      </c>
    </row>
    <row r="13">
      <c r="A13" t="str">
        <v>OP-0012</v>
      </c>
      <c r="B13" t="str">
        <v>D0006</v>
      </c>
      <c r="C13" t="str">
        <v>GET</v>
      </c>
      <c r="D13" t="str">
        <v>api/sd/loan/v2/{loanid}/retrieve</v>
      </c>
      <c r="E13" t="str">
        <v>gestiona el ciclo de vida del préstamo de consumo, desde la apertura hasta el mantenimiento y reestructuración.</v>
      </c>
      <c r="F13" t="str">
        <v>v1.0.0</v>
      </c>
      <c r="G13" t="str">
        <v>Activa</v>
      </c>
    </row>
    <row r="14">
      <c r="A14" t="str">
        <v>OP-0014</v>
      </c>
      <c r="B14" t="str">
        <v>D0009</v>
      </c>
      <c r="C14" t="str">
        <v>POST</v>
      </c>
      <c r="D14" t="str">
        <v>api/sd/customer-offer/v1/initiate</v>
      </c>
      <c r="E14" t="str">
        <v>Orquestar el procesamiento de una oferta de producto o servicio para un cliente, ya sea nuevo o existente</v>
      </c>
      <c r="F14" t="str">
        <v>v1.0.0</v>
      </c>
      <c r="G14" t="str">
        <v>Activa</v>
      </c>
    </row>
    <row r="15">
      <c r="A15" t="str">
        <v>OP-0015</v>
      </c>
      <c r="B15" t="str">
        <v>D0020</v>
      </c>
      <c r="C15" t="str">
        <v>GET</v>
      </c>
      <c r="D15" t="str">
        <v>Retrieve</v>
      </c>
      <c r="E15" t="str">
        <v>Consulta del catálogo de productos financieros.</v>
      </c>
      <c r="F15" t="str">
        <v>v1.0.0</v>
      </c>
      <c r="G15" t="str">
        <v>Activa</v>
      </c>
    </row>
    <row r="16">
      <c r="A16" t="str">
        <v>OP-0016</v>
      </c>
      <c r="B16" t="str">
        <v>D0022</v>
      </c>
      <c r="C16" t="str">
        <v>GET</v>
      </c>
      <c r="D16" t="str">
        <v>Retrieve</v>
      </c>
      <c r="E16" t="str">
        <v>+ Retrieve: Recupera el estado actual o último estado de conectividad de las APIs, segmentado por dominio y ambiente.</v>
      </c>
      <c r="F16" t="str">
        <v>v1.0.0</v>
      </c>
      <c r="G16" t="str">
        <v>Activa</v>
      </c>
    </row>
    <row r="17" xml:space="preserve">
      <c r="A17" t="str">
        <v>OP-0017</v>
      </c>
      <c r="B17" t="str">
        <v>D0007</v>
      </c>
      <c r="C17" t="str">
        <v>GET</v>
      </c>
      <c r="D17" t="str">
        <v>Retrieve (phonenumberid</v>
      </c>
      <c r="E17" t="str" xml:space="preserve">
        <v xml:space="preserve">+ {phonenumberid}/Retrieve: Obtener el Código identificador del cliente (CIC) a partir de una referencia (p.ej. número de celular) en el sistema fuente, devolviendo un modelo canónico para capas superiores._x000d__x000d__x000d_
+ {customerid}/Retrieve: Obtener los datos de un cliente (p.ej. Nombre del cliente) a partir del Código Identificador del cliente (CIC).</v>
      </c>
      <c r="F17" t="str">
        <v>v1.0.0</v>
      </c>
      <c r="G17" t="str">
        <v>Activa</v>
      </c>
    </row>
    <row r="18" xml:space="preserve">
      <c r="A18" t="str">
        <v>OP-0018</v>
      </c>
      <c r="B18" t="str">
        <v>D0007</v>
      </c>
      <c r="C18" t="str">
        <v/>
      </c>
      <c r="D18" t="str">
        <v>customerid)</v>
      </c>
      <c r="E18" t="str" xml:space="preserve">
        <v xml:space="preserve">+ {phonenumberid}/Retrieve: Obtener el Código identificador del cliente (CIC) a partir de una referencia (p.ej. número de celular) en el sistema fuente, devolviendo un modelo canónico para capas superiores._x000d__x000d__x000d_
+ {customerid}/Retrieve: Obtener los datos de un cliente (p.ej. Nombre del cliente) a partir del Código Identificador del cliente (CIC).</v>
      </c>
      <c r="F18" t="str">
        <v>v1.0.0</v>
      </c>
      <c r="G18" t="str">
        <v>Activa</v>
      </c>
    </row>
    <row r="19">
      <c r="A19" t="str">
        <v>OP-0019</v>
      </c>
      <c r="B19" t="str">
        <v>D0003</v>
      </c>
      <c r="C19" t="str">
        <v>GET</v>
      </c>
      <c r="D19" t="str">
        <v>Retrieve</v>
      </c>
      <c r="E19" t="str">
        <v>+ Retrieve: Consultar en el sistema fuente las cuentas afiliadas del cliente (ahorros/corriente) y devolverlas en modelo canónico.</v>
      </c>
      <c r="F19" t="str">
        <v>v1.0.0</v>
      </c>
      <c r="G19" t="str">
        <v>Activa</v>
      </c>
    </row>
    <row r="20" xml:space="preserve">
      <c r="A20" t="str">
        <v>OP-0020</v>
      </c>
      <c r="B20" t="str">
        <v>D0024</v>
      </c>
      <c r="C20" t="str">
        <v>POST</v>
      </c>
      <c r="D20" t="str">
        <v>Evaluate</v>
      </c>
      <c r="E20" t="str" xml:space="preserve">
        <v xml:space="preserve">+ Evaluate: Crear el contexto de autenticación de la tarjeta de debito._x000d__x000d__x000d_
+ Device/Evaluate: Validar los datos de la tarjeta dentro del contexto creado en Evaluate_x000d__x000d__x000d_
+ Password/Evaluate: Validar el PIN ATM de la tarjeta de debito (password existente) dentro del mismo contexto_x000d__x000d__x000d_
+/Behavior/Retrieve: Valida el código OTP (SMS) enviado como parte del flujo de autenticación de la tarjeta_x000d__x000d__x000d_
+ Execute: Solicita la creación código OTP</v>
      </c>
      <c r="F20" t="str">
        <v>v1.0.0</v>
      </c>
      <c r="G20" t="str">
        <v>Activa</v>
      </c>
    </row>
    <row r="21" xml:space="preserve">
      <c r="A21" t="str">
        <v>OP-0021</v>
      </c>
      <c r="B21" t="str">
        <v>D0024</v>
      </c>
      <c r="C21" t="str">
        <v>POST</v>
      </c>
      <c r="D21" t="str">
        <v>/Device/Evaluate</v>
      </c>
      <c r="E21" t="str" xml:space="preserve">
        <v xml:space="preserve">+ Evaluate: Crear el contexto de autenticación de la tarjeta de debito._x000d__x000d__x000d_
+ Device/Evaluate: Validar los datos de la tarjeta dentro del contexto creado en Evaluate_x000d__x000d__x000d_
+ Password/Evaluate: Validar el PIN ATM de la tarjeta de debito (password existente) dentro del mismo contexto_x000d__x000d__x000d_
+/Behavior/Retrieve: Valida el código OTP (SMS) enviado como parte del flujo de autenticación de la tarjeta_x000d__x000d__x000d_
+ Execute: Solicita la creación código OTP</v>
      </c>
      <c r="F21" t="str">
        <v>v1.0.0</v>
      </c>
      <c r="G21" t="str">
        <v>Activa</v>
      </c>
    </row>
    <row r="22" xml:space="preserve">
      <c r="A22" t="str">
        <v>OP-0022</v>
      </c>
      <c r="B22" t="str">
        <v>D0024</v>
      </c>
      <c r="C22" t="str">
        <v>POST</v>
      </c>
      <c r="D22" t="str">
        <v>Password/Evaluate</v>
      </c>
      <c r="E22" t="str" xml:space="preserve">
        <v xml:space="preserve">+ Evaluate: Crear el contexto de autenticación de la tarjeta de debito._x000d__x000d__x000d_
+ Device/Evaluate: Validar los datos de la tarjeta dentro del contexto creado en Evaluate_x000d__x000d__x000d_
+ Password/Evaluate: Validar el PIN ATM de la tarjeta de debito (password existente) dentro del mismo contexto_x000d__x000d__x000d_
+/Behavior/Retrieve: Valida el código OTP (SMS) enviado como parte del flujo de autenticación de la tarjeta_x000d__x000d__x000d_
+ Execute: Solicita la creación código OTP</v>
      </c>
      <c r="F22" t="str">
        <v>v1.0.0</v>
      </c>
      <c r="G22" t="str">
        <v>Activa</v>
      </c>
    </row>
    <row r="23" xml:space="preserve">
      <c r="A23" t="str">
        <v>OP-0023</v>
      </c>
      <c r="B23" t="str">
        <v>D0024</v>
      </c>
      <c r="C23" t="str">
        <v>GET</v>
      </c>
      <c r="D23" t="str">
        <v>/Behavior/Retrieve</v>
      </c>
      <c r="E23" t="str" xml:space="preserve">
        <v xml:space="preserve">+ Evaluate: Crear el contexto de autenticación de la tarjeta de debito._x000d__x000d__x000d_
+ Device/Evaluate: Validar los datos de la tarjeta dentro del contexto creado en Evaluate_x000d__x000d__x000d_
+ Password/Evaluate: Validar el PIN ATM de la tarjeta de debito (password existente) dentro del mismo contexto_x000d__x000d__x000d_
+/Behavior/Retrieve: Valida el código OTP (SMS) enviado como parte del flujo de autenticación de la tarjeta_x000d__x000d__x000d_
+ Execute: Solicita la creación código OTP</v>
      </c>
      <c r="F23" t="str">
        <v>v1.0.0</v>
      </c>
      <c r="G23" t="str">
        <v>Activa</v>
      </c>
    </row>
    <row r="24" xml:space="preserve">
      <c r="A24" t="str">
        <v>OP-0024</v>
      </c>
      <c r="B24" t="str">
        <v>D0024</v>
      </c>
      <c r="C24" t="str">
        <v>POST</v>
      </c>
      <c r="D24" t="str">
        <v>Execute</v>
      </c>
      <c r="E24" t="str" xml:space="preserve">
        <v xml:space="preserve">+ Evaluate: Crear el contexto de autenticación de la tarjeta de debito._x000d__x000d__x000d_
+ Device/Evaluate: Validar los datos de la tarjeta dentro del contexto creado en Evaluate_x000d__x000d__x000d_
+ Password/Evaluate: Validar el PIN ATM de la tarjeta de debito (password existente) dentro del mismo contexto_x000d__x000d__x000d_
+/Behavior/Retrieve: Valida el código OTP (SMS) enviado como parte del flujo de autenticación de la tarjeta_x000d__x000d__x000d_
+ Execute: Solicita la creación código OTP</v>
      </c>
      <c r="F24" t="str">
        <v>v1.0.0</v>
      </c>
      <c r="G24" t="str">
        <v>Activa</v>
      </c>
    </row>
    <row r="25" xml:space="preserve">
      <c r="A25" t="str">
        <v>OP-0025</v>
      </c>
      <c r="B25" t="str">
        <v>D0025</v>
      </c>
      <c r="C25" t="str">
        <v>POST</v>
      </c>
      <c r="D25" t="str">
        <v>Evaluate</v>
      </c>
      <c r="E25" t="str" xml:space="preserve">
        <v xml:space="preserve">+ Evaluate: Determina si el cliente puede afiliarse a TAPP._x000d__x000d__x000d_
+ Update: Registra afiliación del cliente._x000d__x000d__x000d_
+ Retrieve: Valida si el cliente está afiliado a TAPP.</v>
      </c>
      <c r="F25" t="str">
        <v>v1.0.0</v>
      </c>
      <c r="G25" t="str">
        <v>Activa</v>
      </c>
    </row>
    <row r="26" xml:space="preserve">
      <c r="A26" t="str">
        <v>OP-0026</v>
      </c>
      <c r="B26" t="str">
        <v>D0025</v>
      </c>
      <c r="C26" t="str">
        <v>PUT</v>
      </c>
      <c r="D26" t="str">
        <v>Update</v>
      </c>
      <c r="E26" t="str" xml:space="preserve">
        <v xml:space="preserve">+ Evaluate: Determina si el cliente puede afiliarse a TAPP._x000d__x000d__x000d_
+ Update: Registra afiliación del cliente._x000d__x000d__x000d_
+ Retrieve: Valida si el cliente está afiliado a TAPP.</v>
      </c>
      <c r="F26" t="str">
        <v>v1.0.0</v>
      </c>
      <c r="G26" t="str">
        <v>Activa</v>
      </c>
    </row>
    <row r="27" xml:space="preserve">
      <c r="A27" t="str">
        <v>OP-0027</v>
      </c>
      <c r="B27" t="str">
        <v>D0025</v>
      </c>
      <c r="C27" t="str">
        <v>GET</v>
      </c>
      <c r="D27" t="str">
        <v>Retrieve</v>
      </c>
      <c r="E27" t="str" xml:space="preserve">
        <v xml:space="preserve">+ Evaluate: Determina si el cliente puede afiliarse a TAPP._x000d__x000d__x000d_
+ Update: Registra afiliación del cliente._x000d__x000d__x000d_
+ Retrieve: Valida si el cliente está afiliado a TAPP.</v>
      </c>
      <c r="F27" t="str">
        <v>v1.0.0</v>
      </c>
      <c r="G27" t="str">
        <v>Activa</v>
      </c>
    </row>
    <row r="28" xml:space="preserve">
      <c r="A28" t="str">
        <v>OP-0028</v>
      </c>
      <c r="B28" t="str">
        <v>D0026</v>
      </c>
      <c r="C28" t="str">
        <v>POST</v>
      </c>
      <c r="D28" t="str">
        <v>PasswordAssignment/Initiate</v>
      </c>
      <c r="E28" t="str" xml:space="preserve">
        <v xml:space="preserve">+ PasswordAssignment/Initiate: Crea y reestablece el PIN TAPP del cliente._x000d__x000d__x000d_
+ PasswordAssignment/Update: Cambia la clave PIN TAPP.</v>
      </c>
      <c r="F28" t="str">
        <v>v1.0.0</v>
      </c>
      <c r="G28" t="str">
        <v>Activa</v>
      </c>
    </row>
    <row r="29" xml:space="preserve">
      <c r="A29" t="str">
        <v>OP-0029</v>
      </c>
      <c r="B29" t="str">
        <v>D0026</v>
      </c>
      <c r="C29" t="str">
        <v>PUT</v>
      </c>
      <c r="D29" t="str">
        <v>PasswordAssignment/Update</v>
      </c>
      <c r="E29" t="str" xml:space="preserve">
        <v xml:space="preserve">+ PasswordAssignment/Initiate: Crea y reestablece el PIN TAPP del cliente._x000d__x000d__x000d_
+ PasswordAssignment/Update: Cambia la clave PIN TAPP.</v>
      </c>
      <c r="F29" t="str">
        <v>v1.0.0</v>
      </c>
      <c r="G29" t="str">
        <v>Activa</v>
      </c>
    </row>
    <row r="30">
      <c r="A30" t="str">
        <v>OP-0030</v>
      </c>
      <c r="B30" t="str">
        <v>D0027</v>
      </c>
      <c r="C30" t="str">
        <v>POST</v>
      </c>
      <c r="D30" t="str">
        <v>Outbound/initiate</v>
      </c>
      <c r="E30" t="str">
        <v>+ Outbound/Initiate: Envía la notificación al cliente (vía email).</v>
      </c>
      <c r="F30" t="str">
        <v>v1.0.0</v>
      </c>
      <c r="G30" t="str">
        <v>Activa</v>
      </c>
    </row>
    <row r="31">
      <c r="A31" t="str">
        <v>OP-0031</v>
      </c>
      <c r="B31" t="str">
        <v>D0044</v>
      </c>
      <c r="C31" t="str">
        <v>PATCH</v>
      </c>
      <c r="D31" t="str">
        <v>Control</v>
      </c>
      <c r="E31" t="str">
        <v>Gestionar afiliación/desafiliación e interoperabilidad con CCE para transferencias y consultas de movimientos.</v>
      </c>
      <c r="F31" t="str">
        <v>v1.0.0</v>
      </c>
      <c r="G31" t="str">
        <v>Activa</v>
      </c>
    </row>
    <row r="32">
      <c r="A32" t="str">
        <v>OP-0032</v>
      </c>
      <c r="B32" t="str">
        <v>D0044</v>
      </c>
      <c r="C32" t="str">
        <v>POST</v>
      </c>
      <c r="D32" t="str">
        <v>Initiate</v>
      </c>
      <c r="E32" t="str">
        <v>Gestionar afiliación/desafiliación e interoperabilidad con CCE para transferencias y consultas de movimientos.</v>
      </c>
      <c r="F32" t="str">
        <v>v1.0.0</v>
      </c>
      <c r="G32" t="str">
        <v>Activa</v>
      </c>
    </row>
    <row r="33">
      <c r="A33" t="str">
        <v>OP-0033</v>
      </c>
      <c r="B33" t="str">
        <v>D0044</v>
      </c>
      <c r="C33" t="str">
        <v>GET</v>
      </c>
      <c r="D33" t="str">
        <v>Retrieve</v>
      </c>
      <c r="E33" t="str">
        <v>Gestionar afiliación/desafiliación e interoperabilidad con CCE para transferencias y consultas de movimientos.</v>
      </c>
      <c r="F33" t="str">
        <v>v1.0.0</v>
      </c>
      <c r="G33" t="str">
        <v>Activa</v>
      </c>
    </row>
    <row r="34">
      <c r="A34" t="str">
        <v>OP-0034</v>
      </c>
      <c r="B34" t="str">
        <v>D0012</v>
      </c>
      <c r="C34" t="str">
        <v>GET</v>
      </c>
      <c r="D34" t="str">
        <v>Retrieve</v>
      </c>
      <c r="E34" t="str">
        <v>Consulta y selección de servicios a pagar (familia, servicio, número de suministro).</v>
      </c>
      <c r="F34" t="str">
        <v>v1.0.0</v>
      </c>
      <c r="G34" t="str">
        <v>Activa</v>
      </c>
    </row>
    <row r="35">
      <c r="A35" t="str">
        <v>OP-0035</v>
      </c>
      <c r="B35" t="str">
        <v>D0047</v>
      </c>
      <c r="C35" t="str">
        <v>GET</v>
      </c>
      <c r="D35" t="str">
        <v>Retrieve</v>
      </c>
      <c r="E35" t="str">
        <v>Gestión de cobros, cargos y facturación asociados a productos financieros.</v>
      </c>
      <c r="F35" t="str">
        <v>v1.0.0</v>
      </c>
      <c r="G35" t="str">
        <v>Activa</v>
      </c>
    </row>
    <row r="36">
      <c r="A36" t="str">
        <v>OP-0036</v>
      </c>
      <c r="B36" t="str">
        <v>D0047</v>
      </c>
      <c r="C36" t="str">
        <v>PUT</v>
      </c>
      <c r="D36" t="str">
        <v>Update</v>
      </c>
      <c r="E36" t="str">
        <v>Gestión de cobros, cargos y facturación asociados a productos financieros.</v>
      </c>
      <c r="F36" t="str">
        <v>v1.0.0</v>
      </c>
      <c r="G36" t="str">
        <v>Activa</v>
      </c>
    </row>
    <row r="37">
      <c r="A37" t="str">
        <v>OP-0037</v>
      </c>
      <c r="B37" t="str">
        <v>D0009</v>
      </c>
      <c r="C37" t="str">
        <v>GET</v>
      </c>
      <c r="D37" t="str">
        <v>Retrieve</v>
      </c>
      <c r="E37" t="str">
        <v>Consulta de ofertas comerciales y productos elegibles para el cliente.</v>
      </c>
      <c r="F37" t="str">
        <v>v1.0.0</v>
      </c>
      <c r="G37" t="str">
        <v>Activa</v>
      </c>
    </row>
    <row r="38">
      <c r="A38" t="str">
        <v>OP-0039</v>
      </c>
      <c r="B38" t="str">
        <v>D0019</v>
      </c>
      <c r="C38" t="str">
        <v>POST</v>
      </c>
      <c r="D38" t="str">
        <v>Initiate</v>
      </c>
      <c r="E38" t="str">
        <v>Generación y ejecución de desembolsos de crédito.</v>
      </c>
      <c r="F38" t="str">
        <v>v1.0.0</v>
      </c>
      <c r="G38" t="str">
        <v>Activa</v>
      </c>
    </row>
    <row r="39">
      <c r="A39" t="str">
        <v>OP-0040</v>
      </c>
      <c r="B39" t="str">
        <v>D0019</v>
      </c>
      <c r="C39" t="str">
        <v>POST</v>
      </c>
      <c r="D39" t="str">
        <v>Execute</v>
      </c>
      <c r="E39" t="str">
        <v>Generación y ejecución de desembolsos de crédito.</v>
      </c>
      <c r="F39" t="str">
        <v>v1.0.0</v>
      </c>
      <c r="G39" t="str">
        <v>Activa</v>
      </c>
    </row>
    <row r="40">
      <c r="A40" t="str">
        <v>OP-0041</v>
      </c>
      <c r="B40" t="str">
        <v>D0015</v>
      </c>
      <c r="C40" t="str">
        <v>GET</v>
      </c>
      <c r="D40" t="str">
        <v>Retrieve</v>
      </c>
      <c r="E40" t="str">
        <v>Gestión de descuentos y condiciones preferenciales de precios.</v>
      </c>
      <c r="F40" t="str">
        <v>v1.0.0</v>
      </c>
      <c r="G40" t="str">
        <v>Activa</v>
      </c>
    </row>
    <row r="41">
      <c r="A41" t="str">
        <v>OP-0042</v>
      </c>
      <c r="B41" t="str">
        <v>D0015</v>
      </c>
      <c r="C41" t="str">
        <v>POST</v>
      </c>
      <c r="D41" t="str">
        <v>Evaluate</v>
      </c>
      <c r="E41" t="str">
        <v>Gestión de descuentos y condiciones preferenciales de precios.</v>
      </c>
      <c r="F41" t="str">
        <v>v1.0.0</v>
      </c>
      <c r="G41" t="str">
        <v>Activa</v>
      </c>
    </row>
    <row r="42">
      <c r="A42" t="str">
        <v>OP-0043</v>
      </c>
      <c r="B42" t="str">
        <v>D0032</v>
      </c>
      <c r="C42" t="str">
        <v>POST</v>
      </c>
      <c r="D42" t="str">
        <v>Evaluate</v>
      </c>
      <c r="E42" t="str">
        <v>Evaluación de fraude y riesgo antes de ejecutar transacciones.</v>
      </c>
      <c r="F42" t="str">
        <v>v1.0.0</v>
      </c>
      <c r="G42" t="str">
        <v>Activa</v>
      </c>
    </row>
    <row r="43">
      <c r="A43" t="str">
        <v>OP-0044</v>
      </c>
      <c r="B43" t="str">
        <v>D0039</v>
      </c>
      <c r="C43" t="str">
        <v>POST</v>
      </c>
      <c r="D43" t="str">
        <v>Capture</v>
      </c>
      <c r="E43" t="str">
        <v>Gestión de prospectos y oportunidades comerciales para originación.</v>
      </c>
      <c r="F43" t="str">
        <v>v1.0.0</v>
      </c>
      <c r="G43" t="str">
        <v>Activa</v>
      </c>
    </row>
    <row r="44">
      <c r="A44" t="str">
        <v>OP-0045</v>
      </c>
      <c r="B44" t="str">
        <v>D0039</v>
      </c>
      <c r="C44" t="str">
        <v>GET</v>
      </c>
      <c r="D44" t="str">
        <v>Retrieve</v>
      </c>
      <c r="E44" t="str">
        <v>Gestión de prospectos y oportunidades comerciales para originación.</v>
      </c>
      <c r="F44" t="str">
        <v>v1.0.0</v>
      </c>
      <c r="G44" t="str">
        <v>Activa</v>
      </c>
    </row>
    <row r="45">
      <c r="A45" t="str">
        <v>OP-0046</v>
      </c>
      <c r="B45" t="str">
        <v>D0006</v>
      </c>
      <c r="C45" t="str">
        <v>GET</v>
      </c>
      <c r="D45" t="str">
        <v>Retrieve</v>
      </c>
      <c r="E45" t="str">
        <v>Consulta y gestión del ciclo de vida de préstamos.</v>
      </c>
      <c r="F45" t="str">
        <v>v1.0.0</v>
      </c>
      <c r="G45" t="str">
        <v>Activa</v>
      </c>
    </row>
    <row r="46">
      <c r="A46" t="str">
        <v>OP-0047</v>
      </c>
      <c r="B46" t="str">
        <v>D0006</v>
      </c>
      <c r="C46" t="str">
        <v>PUT</v>
      </c>
      <c r="D46" t="str">
        <v>Update</v>
      </c>
      <c r="E46" t="str">
        <v>Consulta y gestión del ciclo de vida de préstamos.</v>
      </c>
      <c r="F46" t="str">
        <v>v1.0.0</v>
      </c>
      <c r="G46" t="str">
        <v>Activa</v>
      </c>
    </row>
    <row r="47">
      <c r="A47" t="str">
        <v>OP-0048</v>
      </c>
      <c r="B47" t="str">
        <v>D0024</v>
      </c>
      <c r="C47" t="str">
        <v>POST</v>
      </c>
      <c r="D47" t="str">
        <v>Authenticate</v>
      </c>
      <c r="E47" t="str">
        <v>Autenticación y validación de identidad del cliente.</v>
      </c>
      <c r="F47" t="str">
        <v>v1.0.0</v>
      </c>
      <c r="G47" t="str">
        <v>Activa</v>
      </c>
    </row>
    <row r="48">
      <c r="A48" t="str">
        <v>OP-0049</v>
      </c>
      <c r="B48" t="str">
        <v>D0024</v>
      </c>
      <c r="C48" t="str">
        <v>POST</v>
      </c>
      <c r="D48" t="str">
        <v>Verify</v>
      </c>
      <c r="E48" t="str">
        <v>Autenticación y validación de identidad del cliente.</v>
      </c>
      <c r="F48" t="str">
        <v>v1.0.0</v>
      </c>
      <c r="G48" t="str">
        <v>Activa</v>
      </c>
    </row>
    <row r="49">
      <c r="A49" t="str">
        <v>OP-0050</v>
      </c>
      <c r="B49" t="str">
        <v>D0007</v>
      </c>
      <c r="C49" t="str">
        <v>GET</v>
      </c>
      <c r="D49" t="str">
        <v>Retrieve</v>
      </c>
      <c r="E49" t="str">
        <v>Consulta de billeteras, teléfonos, cuentas y datos referenciales del cliente.</v>
      </c>
      <c r="F49" t="str">
        <v>v1.0.0</v>
      </c>
      <c r="G49" t="str">
        <v>Activa</v>
      </c>
    </row>
    <row r="50">
      <c r="A50" t="str">
        <v>OP-0051</v>
      </c>
      <c r="B50" t="str">
        <v>D0029</v>
      </c>
      <c r="C50" t="str">
        <v>POST</v>
      </c>
      <c r="D50" t="str">
        <v>Execute</v>
      </c>
      <c r="E50" t="str">
        <v>Ejecución contable final de pagos y transferencias.</v>
      </c>
      <c r="F50" t="str">
        <v>v1.0.0</v>
      </c>
      <c r="G50" t="str">
        <v>Activa</v>
      </c>
    </row>
    <row r="51">
      <c r="A51" t="str">
        <v>OP-0052</v>
      </c>
      <c r="B51" t="str">
        <v>D0028</v>
      </c>
      <c r="C51" t="str">
        <v>POST</v>
      </c>
      <c r="D51" t="str">
        <v>Initiate</v>
      </c>
      <c r="E51" t="str">
        <v>Inicio y registro del proceso de pago.</v>
      </c>
      <c r="F51" t="str">
        <v>v1.0.0</v>
      </c>
      <c r="G51" t="str">
        <v>Activa</v>
      </c>
    </row>
    <row r="52">
      <c r="A52" t="str">
        <v>OP-0053</v>
      </c>
      <c r="B52" t="str">
        <v>D0017</v>
      </c>
      <c r="C52" t="str">
        <v>POST</v>
      </c>
      <c r="D52" t="str">
        <v>Create</v>
      </c>
      <c r="E52" t="str">
        <v>Registro y administración de órdenes de pago.</v>
      </c>
      <c r="F52" t="str">
        <v>v1.0.0</v>
      </c>
      <c r="G52" t="str">
        <v>Activa</v>
      </c>
    </row>
    <row r="53">
      <c r="A53" t="str">
        <v>OP-0054</v>
      </c>
      <c r="B53" t="str">
        <v>D0017</v>
      </c>
      <c r="C53" t="str">
        <v>GET</v>
      </c>
      <c r="D53" t="str">
        <v>Retrieve</v>
      </c>
      <c r="E53" t="str">
        <v>Registro y administración de órdenes de pago.</v>
      </c>
      <c r="F53" t="str">
        <v>v1.0.0</v>
      </c>
      <c r="G53" t="str">
        <v>Activa</v>
      </c>
    </row>
    <row r="54">
      <c r="A54" t="str">
        <v>OP-0055</v>
      </c>
      <c r="B54" t="str">
        <v>D0017</v>
      </c>
      <c r="C54" t="str">
        <v>PUT</v>
      </c>
      <c r="D54" t="str">
        <v>Update</v>
      </c>
      <c r="E54" t="str">
        <v>Registro y administración de órdenes de pago.</v>
      </c>
      <c r="F54" t="str">
        <v>v1.0.0</v>
      </c>
      <c r="G54" t="str">
        <v>Activa</v>
      </c>
    </row>
    <row r="55">
      <c r="A55" t="str">
        <v>OP-0057</v>
      </c>
      <c r="B55" t="str">
        <v>D0021</v>
      </c>
      <c r="C55" t="str">
        <v>GET</v>
      </c>
      <c r="D55" t="str">
        <v>Retrieve</v>
      </c>
      <c r="E55" t="str">
        <v>Consulta de saldo, movimientos y ejecución de cargos/abonos sobre cuentas de ahorro.</v>
      </c>
      <c r="F55" t="str">
        <v>v1.0.0</v>
      </c>
      <c r="G55" t="str">
        <v>Activa</v>
      </c>
    </row>
    <row r="56">
      <c r="A56" t="str">
        <v>OP-0058</v>
      </c>
      <c r="B56" t="str">
        <v>D0021</v>
      </c>
      <c r="C56" t="str">
        <v>POST</v>
      </c>
      <c r="D56" t="str">
        <v>Execute</v>
      </c>
      <c r="E56" t="str">
        <v>Consulta de saldo, movimientos y ejecución de cargos/abonos sobre cuentas de ahorro.</v>
      </c>
      <c r="F56" t="str">
        <v>v1.0.0</v>
      </c>
      <c r="G56" t="str">
        <v>Activa</v>
      </c>
    </row>
    <row r="57">
      <c r="A57" t="str">
        <v>OP-0059</v>
      </c>
      <c r="B57" t="str">
        <v>D0003</v>
      </c>
      <c r="C57" t="str">
        <v>GET</v>
      </c>
      <c r="D57" t="str">
        <v>/CustomerProductandServiceDirectory/{customerproductandservicedirectoryid}/Retrieve</v>
      </c>
      <c r="E57" t="str">
        <v>Evaluacion de Fraudes</v>
      </c>
      <c r="F57" t="str">
        <v>v1.0.0</v>
      </c>
      <c r="G57" t="str">
        <v>Activa</v>
      </c>
    </row>
    <row r="58">
      <c r="A58" t="str">
        <v>OP-0060</v>
      </c>
      <c r="B58" t="str">
        <v>D0032</v>
      </c>
      <c r="C58" t="str">
        <v>GET</v>
      </c>
      <c r="D58" t="str">
        <v>/FraudEvaluation/{fraudevaluationid}/Retrieve</v>
      </c>
      <c r="E58" t="str">
        <v>Evaluacion de Fraudes</v>
      </c>
      <c r="F58" t="str">
        <v>v1.0.0</v>
      </c>
      <c r="G58" t="str">
        <v>Activa</v>
      </c>
    </row>
    <row r="59">
      <c r="A59" t="str">
        <v>OP-0061</v>
      </c>
      <c r="B59" t="str">
        <v>D0034</v>
      </c>
      <c r="C59" t="str">
        <v>PUT</v>
      </c>
      <c r="D59" t="str">
        <v>/FraudDiagnosis/{frauddiagnosisid}/Update</v>
      </c>
      <c r="E59" t="str">
        <v>Evaluacion de Fraudes</v>
      </c>
      <c r="F59" t="str">
        <v>v1.0.0</v>
      </c>
      <c r="G59" t="str">
        <v>Activa</v>
      </c>
    </row>
    <row r="60">
      <c r="A60" t="str">
        <v>OP-0062</v>
      </c>
      <c r="B60" t="str">
        <v>D0007</v>
      </c>
      <c r="C60" t="str">
        <v>GET</v>
      </c>
      <c r="D60" t="str">
        <v>/PartyReferenceDataDirectory/{partyreferencedatadirectoryid}/Retrieve</v>
      </c>
      <c r="E60" t="str">
        <v>Evaluacion de Fraudes</v>
      </c>
      <c r="F60" t="str">
        <v>v1.0.0</v>
      </c>
      <c r="G60" t="str">
        <v>Activa</v>
      </c>
    </row>
    <row r="61">
      <c r="A61" t="str">
        <v>OP-0063</v>
      </c>
      <c r="B61" t="str">
        <v>D0007</v>
      </c>
      <c r="C61" t="str">
        <v>GET</v>
      </c>
      <c r="D61" t="str">
        <v>/PartyReferenceDataDirectory/{partyreferencedatadirectoryid}/Demographics/{demographicsid}/Retrieve</v>
      </c>
      <c r="E61" t="str">
        <v>Evaluacion de Fraudes</v>
      </c>
      <c r="F61" t="str">
        <v>v1.0.0</v>
      </c>
      <c r="G61" t="str">
        <v>Activa</v>
      </c>
    </row>
    <row r="62">
      <c r="A62" t="str">
        <v>OP-0064</v>
      </c>
      <c r="B62" t="str">
        <v>D0007</v>
      </c>
      <c r="C62" t="str">
        <v>GET</v>
      </c>
      <c r="D62" t="str">
        <v>Retrive</v>
      </c>
      <c r="E62" t="str">
        <v>Determinar si un cliente es Independiente o Dependiente</v>
      </c>
      <c r="F62" t="str">
        <v>v1.0.0</v>
      </c>
      <c r="G62" t="str">
        <v>Activa</v>
      </c>
    </row>
    <row r="63">
      <c r="A63" t="str">
        <v>OP-0065</v>
      </c>
      <c r="B63" t="str">
        <v>D0007</v>
      </c>
      <c r="C63" t="str">
        <v>GET</v>
      </c>
      <c r="D63" t="str">
        <v>CR /Retrive; BQ Reference /Retrieve</v>
      </c>
      <c r="E63" t="str">
        <v>Actualizar datos de contacto del cliente</v>
      </c>
      <c r="F63" t="str">
        <v>v1.0.0</v>
      </c>
      <c r="G63" t="str">
        <v>Activa</v>
      </c>
    </row>
    <row r="64">
      <c r="A64" t="str">
        <v>OP-0066</v>
      </c>
      <c r="B64" t="str">
        <v>D0007</v>
      </c>
      <c r="C64" t="str">
        <v>PUT</v>
      </c>
      <c r="D64" t="str">
        <v>/Update</v>
      </c>
      <c r="E64" t="str">
        <v>Actualizar datos de contacto del cliente</v>
      </c>
      <c r="F64" t="str">
        <v>v1.0.0</v>
      </c>
      <c r="G64" t="str">
        <v>Activa</v>
      </c>
    </row>
    <row r="65" xml:space="preserve">
      <c r="A65" t="str">
        <v>OP-0067</v>
      </c>
      <c r="B65" t="str">
        <v>D0110</v>
      </c>
      <c r="C65" t="str">
        <v>POST</v>
      </c>
      <c r="D65" t="str">
        <v>CR /Initiate; CR /Retrive; BQ Relationship /Capture;</v>
      </c>
      <c r="E65" t="str" xml:space="preserve">
        <v xml:space="preserve">Actualizar datos de contacto del cliente _x000d__x000d__x000d_
Guardar trazabilidad del cambio.</v>
      </c>
      <c r="F65" t="str">
        <v>v1.0.0</v>
      </c>
      <c r="G65" t="str">
        <v>Activa</v>
      </c>
    </row>
    <row r="66" xml:space="preserve">
      <c r="A66" t="str">
        <v>OP-0068</v>
      </c>
      <c r="B66" t="str">
        <v>D0013</v>
      </c>
      <c r="C66" t="str">
        <v>POST</v>
      </c>
      <c r="D66" t="str">
        <v>CR /Evaluate</v>
      </c>
      <c r="E66" t="str" xml:space="preserve">
        <v xml:space="preserve">Actualizar datos de contacto del cliente_x000d__x000d__x000d_
Gestionar los acuerdos formales entre el cliente y el banco</v>
      </c>
      <c r="F66" t="str">
        <v>v1.0.0</v>
      </c>
      <c r="G66" t="str">
        <v>Activa</v>
      </c>
    </row>
    <row r="67" xml:space="preserve">
      <c r="A67" t="str">
        <v>OP-0069</v>
      </c>
      <c r="B67" t="str">
        <v>D0013</v>
      </c>
      <c r="C67" t="str">
        <v>GET</v>
      </c>
      <c r="D67" t="str">
        <v>/Retrieve</v>
      </c>
      <c r="E67" t="str" xml:space="preserve">
        <v xml:space="preserve">Actualizar datos de contacto del cliente_x000d__x000d__x000d_
Gestionar los acuerdos formales entre el cliente y el banco</v>
      </c>
      <c r="F67" t="str">
        <v>v1.0.0</v>
      </c>
      <c r="G67" t="str">
        <v>Activa</v>
      </c>
    </row>
    <row r="68" xml:space="preserve">
      <c r="A68" t="str">
        <v>OP-0070</v>
      </c>
      <c r="B68" t="str">
        <v>D0013</v>
      </c>
      <c r="C68" t="str">
        <v>POST</v>
      </c>
      <c r="D68" t="str">
        <v>/Update; BQ LegalTerms /Evaluate</v>
      </c>
      <c r="E68" t="str" xml:space="preserve">
        <v xml:space="preserve">Actualizar datos de contacto del cliente_x000d__x000d__x000d_
Gestionar los acuerdos formales entre el cliente y el banco</v>
      </c>
      <c r="F68" t="str">
        <v>v1.0.0</v>
      </c>
      <c r="G68" t="str">
        <v>Activa</v>
      </c>
    </row>
    <row r="69" xml:space="preserve">
      <c r="A69" t="str">
        <v>OP-0071</v>
      </c>
      <c r="B69" t="str">
        <v>D0013</v>
      </c>
      <c r="C69" t="str">
        <v>PUT</v>
      </c>
      <c r="D69" t="str">
        <v>/Update</v>
      </c>
      <c r="E69" t="str" xml:space="preserve">
        <v xml:space="preserve">Actualizar datos de contacto del cliente_x000d__x000d__x000d_
Gestionar los acuerdos formales entre el cliente y el banco</v>
      </c>
      <c r="F69" t="str">
        <v>v1.0.0</v>
      </c>
      <c r="G69" t="str">
        <v>Activa</v>
      </c>
    </row>
    <row r="70" xml:space="preserve">
      <c r="A70" t="str">
        <v>OP-0072</v>
      </c>
      <c r="B70" t="str">
        <v>D0013</v>
      </c>
      <c r="C70" t="str">
        <v>PUT</v>
      </c>
      <c r="D70" t="str">
        <v>/Retrieve; BQ RegulatoryTerms /Update</v>
      </c>
      <c r="E70" t="str" xml:space="preserve">
        <v xml:space="preserve">Actualizar datos de contacto del cliente_x000d__x000d__x000d_
Gestionar los acuerdos formales entre el cliente y el banco</v>
      </c>
      <c r="F70" t="str">
        <v>v1.0.0</v>
      </c>
      <c r="G70" t="str">
        <v>Activa</v>
      </c>
    </row>
    <row r="71" xml:space="preserve">
      <c r="A71" t="str">
        <v>OP-0073</v>
      </c>
      <c r="B71" t="str">
        <v>D0016</v>
      </c>
      <c r="C71" t="str">
        <v>POST</v>
      </c>
      <c r="D71" t="str">
        <v>CR /Initiate</v>
      </c>
      <c r="E71" t="str" xml:space="preserve">
        <v xml:space="preserve">Actualizar datos de contacto del cliente_x000d__x000d__x000d_
Generar Documentos Contractuales</v>
      </c>
      <c r="F71" t="str">
        <v>v1.0.0</v>
      </c>
      <c r="G71" t="str">
        <v>Activa</v>
      </c>
    </row>
    <row r="72" xml:space="preserve">
      <c r="A72" t="str">
        <v>OP-0074</v>
      </c>
      <c r="B72" t="str">
        <v>D0016</v>
      </c>
      <c r="C72" t="str">
        <v>POST</v>
      </c>
      <c r="D72" t="str">
        <v>/Notify</v>
      </c>
      <c r="E72" t="str" xml:space="preserve">
        <v xml:space="preserve">Actualizar datos de contacto del cliente_x000d__x000d__x000d_
Generar Documentos Contractuales</v>
      </c>
      <c r="F72" t="str">
        <v>v1.0.0</v>
      </c>
      <c r="G72" t="str">
        <v>Activa</v>
      </c>
    </row>
    <row r="73" xml:space="preserve">
      <c r="A73" t="str">
        <v>OP-0075</v>
      </c>
      <c r="B73" t="str">
        <v>D0024</v>
      </c>
      <c r="C73" t="str">
        <v>POST</v>
      </c>
      <c r="D73" t="str">
        <v>CR /Evaluate</v>
      </c>
      <c r="E73" t="str" xml:space="preserve">
        <v xml:space="preserve">Actualizar datos de contacto del cliente_x000d__x000d__x000d_
Generación, envío y validación de OTP</v>
      </c>
      <c r="F73" t="str">
        <v>v1.0.0</v>
      </c>
      <c r="G73" t="str">
        <v>Activa</v>
      </c>
    </row>
    <row r="74" xml:space="preserve">
      <c r="A74" t="str">
        <v>OP-0076</v>
      </c>
      <c r="B74" t="str">
        <v>D0024</v>
      </c>
      <c r="C74" t="str">
        <v>POST</v>
      </c>
      <c r="D74" t="str">
        <v>/Grant; BQ Password /Evaluate</v>
      </c>
      <c r="E74" t="str" xml:space="preserve">
        <v xml:space="preserve">Actualizar datos de contacto del cliente_x000d__x000d__x000d_
Generación, envío y validación de OTP</v>
      </c>
      <c r="F74" t="str">
        <v>v1.0.0</v>
      </c>
      <c r="G74" t="str">
        <v>Activa</v>
      </c>
    </row>
    <row r="75">
      <c r="A75" t="str">
        <v>OP-0077</v>
      </c>
      <c r="B75" t="str">
        <v>D0025</v>
      </c>
      <c r="C75" t="str">
        <v>POST</v>
      </c>
      <c r="D75" t="str">
        <v>CR /Evaluate</v>
      </c>
      <c r="E75" t="str">
        <v>Actualizar datos de contacto del cliente</v>
      </c>
      <c r="F75" t="str">
        <v>v1.0.0</v>
      </c>
      <c r="G75" t="str">
        <v>Activa</v>
      </c>
    </row>
    <row r="76">
      <c r="A76" t="str">
        <v>OP-0078</v>
      </c>
      <c r="B76" t="str">
        <v>D0025</v>
      </c>
      <c r="C76" t="str">
        <v>POST</v>
      </c>
      <c r="D76" t="str">
        <v>/Update; BQ Restrictions /Evaluate</v>
      </c>
      <c r="E76" t="str">
        <v>Actualizar datos de contacto del cliente</v>
      </c>
      <c r="F76" t="str">
        <v>v1.0.0</v>
      </c>
      <c r="G76" t="str">
        <v>Activa</v>
      </c>
    </row>
    <row r="77">
      <c r="A77" t="str">
        <v>OP-0079</v>
      </c>
      <c r="B77" t="str">
        <v>D0025</v>
      </c>
      <c r="C77" t="str">
        <v>POST</v>
      </c>
      <c r="D77" t="str">
        <v>/Update; BQ Preferences /Evaluate</v>
      </c>
      <c r="E77" t="str">
        <v>Actualizar datos de contacto del cliente</v>
      </c>
      <c r="F77" t="str">
        <v>v1.0.0</v>
      </c>
      <c r="G77" t="str">
        <v>Activa</v>
      </c>
    </row>
    <row r="78">
      <c r="A78" t="str">
        <v>OP-0080</v>
      </c>
      <c r="B78" t="str">
        <v>D0025</v>
      </c>
      <c r="C78" t="str">
        <v>PUT</v>
      </c>
      <c r="D78" t="str">
        <v>/Update.</v>
      </c>
      <c r="E78" t="str">
        <v>Actualizar datos de contacto del cliente</v>
      </c>
      <c r="F78" t="str">
        <v>v1.0.0</v>
      </c>
      <c r="G78" t="str">
        <v>Activa</v>
      </c>
    </row>
    <row r="79">
      <c r="A79" t="str">
        <v>OP-0081</v>
      </c>
      <c r="B79" t="str">
        <v>D0027</v>
      </c>
      <c r="C79" t="str">
        <v/>
      </c>
      <c r="D79" t="str">
        <v>Async</v>
      </c>
      <c r="E79" t="str">
        <v>Actualizar datos de contacto del cliente</v>
      </c>
      <c r="F79" t="str">
        <v>v1.0.0</v>
      </c>
      <c r="G79" t="str">
        <v>Activa</v>
      </c>
    </row>
    <row r="80" xml:space="preserve">
      <c r="A80" t="str">
        <v>OP-0082</v>
      </c>
      <c r="B80" t="str">
        <v>D0115</v>
      </c>
      <c r="C80" t="str">
        <v/>
      </c>
      <c r="D80" t="str">
        <v>Generar Simulacion</v>
      </c>
      <c r="E80" t="str" xml:space="preserve">
        <v xml:space="preserve">Generar Simulacion_x000d__x000d__x000d_
Obtener Cronograma Simulacion_x000d__x000d__x000d_
Obtener Dias Pago Simulacion</v>
      </c>
      <c r="F80" t="str">
        <v>v1.0.0</v>
      </c>
      <c r="G80" t="str">
        <v>Activa</v>
      </c>
    </row>
    <row r="81" xml:space="preserve">
      <c r="A81" t="str">
        <v>OP-0083</v>
      </c>
      <c r="B81" t="str">
        <v>D0115</v>
      </c>
      <c r="C81" t="str">
        <v/>
      </c>
      <c r="D81" t="str">
        <v>Obtener Cronograma Simulacion</v>
      </c>
      <c r="E81" t="str" xml:space="preserve">
        <v xml:space="preserve">Generar Simulacion_x000d__x000d__x000d_
Obtener Cronograma Simulacion_x000d__x000d__x000d_
Obtener Dias Pago Simulacion</v>
      </c>
      <c r="F81" t="str">
        <v>v1.0.0</v>
      </c>
      <c r="G81" t="str">
        <v>Activa</v>
      </c>
    </row>
    <row r="82" xml:space="preserve">
      <c r="A82" t="str">
        <v>OP-0084</v>
      </c>
      <c r="B82" t="str">
        <v>D0115</v>
      </c>
      <c r="C82" t="str">
        <v/>
      </c>
      <c r="D82" t="str">
        <v>Obtener Dias Pago Simulacion</v>
      </c>
      <c r="E82" t="str" xml:space="preserve">
        <v xml:space="preserve">Generar Simulacion_x000d__x000d__x000d_
Obtener Cronograma Simulacion_x000d__x000d__x000d_
Obtener Dias Pago Simulacion</v>
      </c>
      <c r="F82" t="str">
        <v>v1.0.0</v>
      </c>
      <c r="G82" t="str">
        <v>Activa</v>
      </c>
    </row>
    <row r="83">
      <c r="A83" t="str">
        <v>OP-0085</v>
      </c>
      <c r="B83" t="str">
        <v>D0116</v>
      </c>
      <c r="C83" t="str">
        <v/>
      </c>
      <c r="D83" t="str">
        <v>Recuperar Informacion Topaz</v>
      </c>
      <c r="E83" t="str">
        <v>Recuperar Informacion Topaz</v>
      </c>
      <c r="F83" t="str">
        <v>v1.0.0</v>
      </c>
      <c r="G83" t="str">
        <v>Activa</v>
      </c>
    </row>
    <row r="84">
      <c r="A84" t="str">
        <v>OP-0086</v>
      </c>
      <c r="B84" t="str">
        <v>D0117</v>
      </c>
      <c r="C84" t="str">
        <v/>
      </c>
      <c r="D84" t="str">
        <v>Generar Desembolso</v>
      </c>
      <c r="E84" t="str">
        <v>Generar Desembolso</v>
      </c>
      <c r="F84" t="str">
        <v>v1.0.0</v>
      </c>
      <c r="G84" t="str">
        <v>Activa</v>
      </c>
    </row>
    <row r="85">
      <c r="A85" t="str">
        <v>OP-0087</v>
      </c>
      <c r="B85" t="str">
        <v>D0118</v>
      </c>
      <c r="C85" t="str">
        <v/>
      </c>
      <c r="D85" t="str">
        <v>Generar Desembolso Orquestador</v>
      </c>
      <c r="E85" t="str">
        <v>Generar Desembolso Orquestador</v>
      </c>
      <c r="F85" t="str">
        <v>v1.0.0</v>
      </c>
      <c r="G85" t="str">
        <v>Activa</v>
      </c>
    </row>
    <row r="86">
      <c r="A86" t="str">
        <v>OP-0088</v>
      </c>
      <c r="B86" t="str">
        <v>D0119</v>
      </c>
      <c r="C86" t="str">
        <v/>
      </c>
      <c r="D86" t="str">
        <v>Generar Documentos</v>
      </c>
      <c r="E86" t="str">
        <v>Generar Documentos</v>
      </c>
      <c r="F86" t="str">
        <v>v1.0.0</v>
      </c>
      <c r="G86" t="str">
        <v>Activa</v>
      </c>
    </row>
    <row r="87">
      <c r="A87" t="str">
        <v>OP-0089</v>
      </c>
      <c r="B87" t="str">
        <v>D0120</v>
      </c>
      <c r="C87" t="str">
        <v/>
      </c>
      <c r="D87" t="str">
        <v>Enviar Respuesta Desembolso</v>
      </c>
      <c r="E87" t="str">
        <v>Enviar Respuesta Desembolso</v>
      </c>
      <c r="F87" t="str">
        <v>v1.0.0</v>
      </c>
      <c r="G87" t="str">
        <v>Activa</v>
      </c>
    </row>
    <row r="88">
      <c r="A88" t="str">
        <v>OP-0090</v>
      </c>
      <c r="B88" t="str">
        <v>D0121</v>
      </c>
      <c r="C88" t="str">
        <v/>
      </c>
      <c r="D88" t="str">
        <v>evaluarInformacionSesion</v>
      </c>
      <c r="E88" t="str">
        <v>Evaluacion de Fraudes</v>
      </c>
      <c r="F88" t="str">
        <v>v1.0.0</v>
      </c>
      <c r="G88" t="str">
        <v>Activa</v>
      </c>
    </row>
    <row r="89">
      <c r="A89" t="str">
        <v>OP-0091</v>
      </c>
      <c r="B89" t="str">
        <v>D0121</v>
      </c>
      <c r="C89" t="str">
        <v/>
      </c>
      <c r="D89" t="str">
        <v>evaluarInformacionMonetaria</v>
      </c>
      <c r="E89" t="str">
        <v>Evaluacion de Fraudes</v>
      </c>
      <c r="F89" t="str">
        <v>v1.0.0</v>
      </c>
      <c r="G89" t="str">
        <v>Activa</v>
      </c>
    </row>
    <row r="90">
      <c r="A90" t="str">
        <v>OP-0092</v>
      </c>
      <c r="B90" t="str">
        <v>D0121</v>
      </c>
      <c r="C90" t="str">
        <v/>
      </c>
      <c r="D90" t="str">
        <v>notificarActualizacionCredenciales</v>
      </c>
      <c r="E90" t="str">
        <v>Evaluacion de Fraudes</v>
      </c>
      <c r="F90" t="str">
        <v>v1.0.0</v>
      </c>
      <c r="G90" t="str">
        <v>Activa</v>
      </c>
    </row>
    <row r="91">
      <c r="A91" t="str">
        <v>OP-0093</v>
      </c>
      <c r="B91" t="str">
        <v>D0121</v>
      </c>
      <c r="C91" t="str">
        <v/>
      </c>
      <c r="D91" t="str">
        <v>notificarActualizacionEmail</v>
      </c>
      <c r="E91" t="str">
        <v>Evaluacion de Fraudes</v>
      </c>
      <c r="F91" t="str">
        <v>v1.0.0</v>
      </c>
      <c r="G91" t="str">
        <v>Activa</v>
      </c>
    </row>
    <row r="92">
      <c r="A92" t="str">
        <v>OP-0094</v>
      </c>
      <c r="B92" t="str">
        <v>D0121</v>
      </c>
      <c r="C92" t="str">
        <v/>
      </c>
      <c r="D92" t="str">
        <v>bloquearUsuarioDigital</v>
      </c>
      <c r="E92" t="str">
        <v>Evaluacion de Fraudes</v>
      </c>
      <c r="F92" t="str">
        <v>v1.0.0</v>
      </c>
      <c r="G92" t="str">
        <v>Activa</v>
      </c>
    </row>
    <row r="93">
      <c r="A93" t="str">
        <v>OP-0095</v>
      </c>
      <c r="B93" t="str">
        <v>D0121</v>
      </c>
      <c r="C93" t="str">
        <v/>
      </c>
      <c r="D93" t="str">
        <v>desbloquearUsuarioDigital</v>
      </c>
      <c r="E93" t="str">
        <v>Evaluacion de Fraudes</v>
      </c>
      <c r="F93" t="str">
        <v>v1.0.0</v>
      </c>
      <c r="G93" t="str">
        <v>Activa</v>
      </c>
    </row>
    <row r="94">
      <c r="A94" t="str">
        <v>OP-0096</v>
      </c>
      <c r="B94" t="str">
        <v>D0121</v>
      </c>
      <c r="C94" t="str">
        <v/>
      </c>
      <c r="D94" t="str">
        <v>cerrarSesionUsuarioDigital</v>
      </c>
      <c r="E94" t="str">
        <v>Evaluacion de Fraudes</v>
      </c>
      <c r="F94" t="str">
        <v>v1.0.0</v>
      </c>
      <c r="G94" t="str">
        <v>Activa</v>
      </c>
    </row>
    <row r="95">
      <c r="A95" t="str">
        <v>OP-0097</v>
      </c>
      <c r="B95" t="str">
        <v>D0122</v>
      </c>
      <c r="C95" t="str">
        <v/>
      </c>
      <c r="D95" t="str">
        <v>listar</v>
      </c>
      <c r="E95" t="str">
        <v>Desembolso de creditos</v>
      </c>
      <c r="F95" t="str">
        <v>v1.0.0</v>
      </c>
      <c r="G95" t="str">
        <v>Activa</v>
      </c>
    </row>
    <row r="96">
      <c r="A96" t="str">
        <v>OP-0098</v>
      </c>
      <c r="B96" t="str">
        <v>D0123</v>
      </c>
      <c r="C96" t="str">
        <v/>
      </c>
      <c r="D96" t="str">
        <v>validar</v>
      </c>
      <c r="E96" t="str">
        <v>Gestion de pagos de prestamo</v>
      </c>
      <c r="F96" t="str">
        <v>v1.0.0</v>
      </c>
      <c r="G96" t="str">
        <v>Activa</v>
      </c>
    </row>
    <row r="97">
      <c r="A97" t="str">
        <v>OP-0099</v>
      </c>
      <c r="B97" t="str">
        <v>D0129</v>
      </c>
      <c r="C97" t="str">
        <v>POST</v>
      </c>
      <c r="D97" t="str">
        <v>/api/sd/customer-case-mgmt/v1/create</v>
      </c>
      <c r="E97" t="str">
        <v>registra información de reclamos de clientes</v>
      </c>
      <c r="F97" t="str">
        <v>v1.0.0</v>
      </c>
      <c r="G97" t="str">
        <v>Activa</v>
      </c>
    </row>
    <row r="98">
      <c r="A98" t="str">
        <v>OP-0100</v>
      </c>
      <c r="B98" t="str">
        <v>D0130</v>
      </c>
      <c r="C98" t="str">
        <v>POST</v>
      </c>
      <c r="D98" t="str">
        <v>/api/exp/web/portalweb/customer-case-mgmt/v1/create</v>
      </c>
      <c r="E98" t="str">
        <v>registra información de reclamos de clientes</v>
      </c>
      <c r="F98" t="str">
        <v>v1.0.0</v>
      </c>
      <c r="G98" t="str">
        <v>Activa</v>
      </c>
    </row>
    <row r="99">
      <c r="A99" t="str">
        <v>OP-0101</v>
      </c>
      <c r="B99" t="str">
        <v>D0131</v>
      </c>
      <c r="C99" t="str">
        <v>POST</v>
      </c>
      <c r="D99" t="str">
        <v>/api/sys/int/registrodeleads/customer-case-mgmt-create/v1/create</v>
      </c>
      <c r="E99" t="str">
        <v>registra información de reclamos de clientes</v>
      </c>
      <c r="F99" t="str">
        <v>v1.0.0</v>
      </c>
      <c r="G99" t="str">
        <v>Activa</v>
      </c>
    </row>
    <row r="100">
      <c r="A100" t="str">
        <v>OP-0102</v>
      </c>
      <c r="B100" t="str">
        <v>D0008</v>
      </c>
      <c r="C100" t="str">
        <v>POST</v>
      </c>
      <c r="D100" t="str">
        <v>/evaluate</v>
      </c>
      <c r="E100" t="str">
        <v/>
      </c>
      <c r="F100" t="str">
        <v>v1.0.0</v>
      </c>
      <c r="G100" t="str">
        <v>Activa</v>
      </c>
    </row>
    <row r="101">
      <c r="A101" t="str">
        <v>OP-0103</v>
      </c>
      <c r="B101" t="str">
        <v>D0008</v>
      </c>
      <c r="C101" t="str">
        <v>GET</v>
      </c>
      <c r="D101" t="str">
        <v>/{underwritingid}/retrieve</v>
      </c>
      <c r="E101" t="str">
        <v/>
      </c>
      <c r="F101" t="str">
        <v>v1.0.0</v>
      </c>
      <c r="G101" t="str">
        <v>Activa</v>
      </c>
    </row>
  </sheetData>
  <ignoredErrors>
    <ignoredError numberStoredAsText="1" sqref="A1:G101"/>
  </ignoredErrors>
</worksheet>
</file>

<file path=xl/worksheets/sheet3.xml><?xml version="1.0" encoding="utf-8"?>
<worksheet xmlns="http://schemas.openxmlformats.org/spreadsheetml/2006/main" xmlns:r="http://schemas.openxmlformats.org/officeDocument/2006/relationships">
  <dimension ref="A1:AC222"/>
  <sheetViews>
    <sheetView workbookViewId="0"/>
  </sheetViews>
  <cols>
    <col min="1" max="1" width="14.83203125" customWidth="1"/>
    <col min="2" max="2" width="12.83203125" customWidth="1"/>
    <col min="3" max="3" width="12.83203125" customWidth="1"/>
    <col min="4" max="4" width="12.83203125" customWidth="1"/>
    <col min="5" max="5" width="12.83203125" customWidth="1"/>
    <col min="6" max="6" width="35.83203125" customWidth="1"/>
    <col min="7" max="7" width="18.83203125" customWidth="1"/>
    <col min="8" max="8" width="12.83203125" customWidth="1"/>
    <col min="9" max="9" width="15.83203125" customWidth="1"/>
    <col min="10" max="10" width="15.83203125" customWidth="1"/>
    <col min="11" max="11" width="21.83203125" customWidth="1"/>
    <col min="12" max="12" width="14.83203125" customWidth="1"/>
    <col min="13" max="13" width="16.83203125" customWidth="1"/>
    <col min="14" max="14" width="18.83203125" customWidth="1"/>
    <col min="15" max="15" width="23.83203125" customWidth="1"/>
    <col min="16" max="16" width="15.83203125" customWidth="1"/>
    <col min="17" max="17" width="23.83203125" customWidth="1"/>
    <col min="18" max="18" width="21.83203125" customWidth="1"/>
    <col min="19" max="19" width="15.83203125" customWidth="1"/>
    <col min="20" max="20" width="15.83203125" customWidth="1"/>
    <col min="21" max="21" width="17.83203125" customWidth="1"/>
    <col min="22" max="22" width="17.83203125" customWidth="1"/>
    <col min="23" max="23" width="13.83203125" customWidth="1"/>
    <col min="24" max="24" width="27.83203125" customWidth="1"/>
    <col min="25" max="25" width="25.83203125" customWidth="1"/>
    <col min="26" max="26" width="27.83203125" customWidth="1"/>
    <col min="27" max="27" width="21.83203125" customWidth="1"/>
    <col min="28" max="28" width="21.83203125" customWidth="1"/>
    <col min="29" max="29" width="13.83203125" customWidth="1"/>
  </cols>
  <sheetData>
    <row r="1">
      <c r="A1" t="str">
        <v>ID Historial</v>
      </c>
      <c r="B1" t="str">
        <v>ID API</v>
      </c>
      <c r="C1" t="str">
        <v>Proyecto</v>
      </c>
      <c r="D1" t="str">
        <v>Tribu</v>
      </c>
      <c r="E1" t="str">
        <v>Acción</v>
      </c>
      <c r="F1" t="str">
        <v>Operaciones (Creadas/Modificadas)</v>
      </c>
      <c r="G1" t="str">
        <v>PO/Líder Usuario</v>
      </c>
      <c r="H1" t="str">
        <v>TTL</v>
      </c>
      <c r="I1" t="str">
        <v>Jefe Proyecto</v>
      </c>
      <c r="J1" t="str">
        <v>Líder Técnico</v>
      </c>
      <c r="K1" t="str">
        <v>Arquitecto Solución</v>
      </c>
      <c r="L1" t="str">
        <v>Consumidores</v>
      </c>
      <c r="M1" t="str">
        <v>Fecha Registro</v>
      </c>
      <c r="N1" t="str">
        <v>Fecha Fin Diseño</v>
      </c>
      <c r="O1" t="str">
        <v>Fecha Pase Desarrollo</v>
      </c>
      <c r="P1" t="str">
        <v>Fecha Pase QA</v>
      </c>
      <c r="Q1" t="str">
        <v>Fecha Pase Producción</v>
      </c>
      <c r="R1" t="str">
        <v>Quarter Publicación</v>
      </c>
      <c r="S1" t="str">
        <v>Estado_Actual</v>
      </c>
      <c r="T1" t="str">
        <v>Versión_Antes</v>
      </c>
      <c r="U1" t="str">
        <v>Versión_Después</v>
      </c>
      <c r="V1" t="str">
        <v>Breaking_Change</v>
      </c>
      <c r="W1" t="str">
        <v>Complejidad</v>
      </c>
      <c r="X1" t="str">
        <v>Justificación_Complejidad</v>
      </c>
      <c r="Y1" t="str">
        <v>Última_Modificación_Por</v>
      </c>
      <c r="Z1" t="str">
        <v>Fecha_Última_Modificación</v>
      </c>
      <c r="AA1" t="str">
        <v>Motivo_Modificación</v>
      </c>
      <c r="AB1" t="str">
        <v>Observaciones_Cruce</v>
      </c>
      <c r="AC1" t="str">
        <v>Comentarios</v>
      </c>
    </row>
    <row r="2">
      <c r="A2" t="str">
        <v>HIST-0001</v>
      </c>
      <c r="B2" t="str">
        <v>D0001</v>
      </c>
      <c r="C2" t="str">
        <v>Satélite de Riesgos R1</v>
      </c>
      <c r="D2" t="str">
        <v/>
      </c>
      <c r="E2" t="str">
        <v>Creación</v>
      </c>
      <c r="F2" t="str">
        <v>OP-0001</v>
      </c>
      <c r="G2" t="str">
        <v>Vanessa Vera / Miguel García</v>
      </c>
      <c r="H2" t="str">
        <v>Nelson Cuba</v>
      </c>
      <c r="I2" t="str">
        <v>Paola Casanova</v>
      </c>
      <c r="J2" t="str">
        <v>Wilfredo Centurion / Carlos Zuñiga</v>
      </c>
      <c r="K2" t="str">
        <v>Alan Gutierrez</v>
      </c>
      <c r="L2" t="str">
        <v>nueva APP, CRM, Urpi Pro, Yape</v>
      </c>
      <c r="M2" t="str">
        <v>2026-07-07</v>
      </c>
      <c r="N2" t="str">
        <v/>
      </c>
      <c r="O2" t="str">
        <v/>
      </c>
      <c r="P2" t="str">
        <v/>
      </c>
      <c r="Q2" t="str">
        <v>2026-06-30</v>
      </c>
      <c r="R2" t="str">
        <f>IF(Q2="","","Q"&amp;ROUNDUP(MONTH(Q2)/3,0)&amp;"-"&amp;YEAR(Q2))</f>
        <v>Q2-2026</v>
      </c>
      <c r="S2" t="str">
        <v>Producción</v>
      </c>
      <c r="T2" t="str">
        <v/>
      </c>
      <c r="U2" t="str">
        <v/>
      </c>
      <c r="V2" t="str">
        <v/>
      </c>
      <c r="W2" t="str">
        <v>Media</v>
      </c>
      <c r="X2" t="str">
        <v/>
      </c>
      <c r="Y2" t="str">
        <v/>
      </c>
      <c r="Z2" t="str">
        <v/>
      </c>
      <c r="AA2" t="str">
        <v/>
      </c>
      <c r="AB2" t="str">
        <v/>
      </c>
      <c r="AC2" t="str">
        <v>Pasó en el Q2</v>
      </c>
    </row>
    <row r="3">
      <c r="A3" t="str">
        <v>HIST-0002</v>
      </c>
      <c r="B3" t="str">
        <v>D0002</v>
      </c>
      <c r="C3" t="str">
        <v>Satélite de Riesgos R1</v>
      </c>
      <c r="D3" t="str">
        <v/>
      </c>
      <c r="E3" t="str">
        <v>Creación</v>
      </c>
      <c r="F3" t="str">
        <v>OP-0002</v>
      </c>
      <c r="G3" t="str">
        <v>Vanessa Vera / Miguel García</v>
      </c>
      <c r="H3" t="str">
        <v>Nelson Cuba</v>
      </c>
      <c r="I3" t="str">
        <v>Paola Casanova</v>
      </c>
      <c r="J3" t="str">
        <v>Wilfredo Centurion / Carlos Zuñiga</v>
      </c>
      <c r="K3" t="str">
        <v>Alan Gutierrez</v>
      </c>
      <c r="L3" t="str">
        <v>nueva APP, CRM, Urpi Pro, Yape</v>
      </c>
      <c r="M3" t="str">
        <v>2026-07-07</v>
      </c>
      <c r="N3" t="str">
        <v/>
      </c>
      <c r="O3" t="str">
        <v/>
      </c>
      <c r="P3" t="str">
        <v/>
      </c>
      <c r="Q3" t="str">
        <v>2026-06-30</v>
      </c>
      <c r="R3" t="str">
        <f>IF(Q3="","","Q"&amp;ROUNDUP(MONTH(Q3)/3,0)&amp;"-"&amp;YEAR(Q3))</f>
        <v>Q2-2026</v>
      </c>
      <c r="S3" t="str">
        <v>Producción</v>
      </c>
      <c r="T3" t="str">
        <v/>
      </c>
      <c r="U3" t="str">
        <v/>
      </c>
      <c r="V3" t="str">
        <v/>
      </c>
      <c r="W3" t="str">
        <v>Media</v>
      </c>
      <c r="X3" t="str">
        <v/>
      </c>
      <c r="Y3" t="str">
        <v/>
      </c>
      <c r="Z3" t="str">
        <v/>
      </c>
      <c r="AA3" t="str">
        <v/>
      </c>
      <c r="AB3" t="str">
        <v/>
      </c>
      <c r="AC3" t="str">
        <v>Ya paso a prod en Q2</v>
      </c>
    </row>
    <row r="4">
      <c r="A4" t="str">
        <v>HIST-0003</v>
      </c>
      <c r="B4" t="str">
        <v>D0003</v>
      </c>
      <c r="C4" t="str">
        <v>Satélite de Riesgos R1</v>
      </c>
      <c r="D4" t="str">
        <v/>
      </c>
      <c r="E4" t="str">
        <v>Modificación</v>
      </c>
      <c r="F4" t="str">
        <v>OP-0003, OP-0004</v>
      </c>
      <c r="G4" t="str">
        <v>Vanessa Vera / Miguel García</v>
      </c>
      <c r="H4" t="str">
        <v>Nelson Cuba</v>
      </c>
      <c r="I4" t="str">
        <v>Paola Casanova</v>
      </c>
      <c r="J4" t="str">
        <v>Wilfredo Centurion / Carlos Zuñiga</v>
      </c>
      <c r="K4" t="str">
        <v>Alan Gutierrez</v>
      </c>
      <c r="L4" t="str">
        <v>nueva APP, CRM, Urpi Pro, Yape</v>
      </c>
      <c r="M4" t="str">
        <v>2026-07-07</v>
      </c>
      <c r="N4" t="str">
        <v/>
      </c>
      <c r="O4" t="str">
        <v/>
      </c>
      <c r="P4" t="str">
        <v/>
      </c>
      <c r="Q4" t="str">
        <v>2026-06-30</v>
      </c>
      <c r="R4" t="str">
        <f>IF(Q4="","","Q"&amp;ROUNDUP(MONTH(Q4)/3,0)&amp;"-"&amp;YEAR(Q4))</f>
        <v>Q2-2026</v>
      </c>
      <c r="S4" t="str">
        <v>Producción</v>
      </c>
      <c r="T4" t="str">
        <v/>
      </c>
      <c r="U4" t="str">
        <v/>
      </c>
      <c r="V4" t="str">
        <v/>
      </c>
      <c r="W4" t="str">
        <v>Media</v>
      </c>
      <c r="X4" t="str">
        <v/>
      </c>
      <c r="Y4" t="str">
        <v/>
      </c>
      <c r="Z4" t="str">
        <v/>
      </c>
      <c r="AA4" t="str">
        <v/>
      </c>
      <c r="AB4" t="str">
        <v/>
      </c>
      <c r="AC4" t="str">
        <v>lo modifico y paso en producción en el Q2</v>
      </c>
    </row>
    <row r="5">
      <c r="A5" t="str">
        <v>HIST-0004</v>
      </c>
      <c r="B5" t="str">
        <v>D0004</v>
      </c>
      <c r="C5" t="str">
        <v>Satélite de Riesgos R1</v>
      </c>
      <c r="D5" t="str">
        <v/>
      </c>
      <c r="E5" t="str">
        <v>Creación</v>
      </c>
      <c r="F5" t="str">
        <v>OP-0005, OP-0006, OP-0007, OP-0008, OP-0009</v>
      </c>
      <c r="G5" t="str">
        <v>Vanessa Vera / Miguel García</v>
      </c>
      <c r="H5" t="str">
        <v>Nelson Cuba</v>
      </c>
      <c r="I5" t="str">
        <v>Paola Casanova</v>
      </c>
      <c r="J5" t="str">
        <v>Wilfredo Centurion / Carlos Zuñiga</v>
      </c>
      <c r="K5" t="str">
        <v>Alan Gutierrez</v>
      </c>
      <c r="L5" t="str">
        <v>nueva APP, CRM, Urpi Pro, Yape</v>
      </c>
      <c r="M5" t="str">
        <v>2026-07-07</v>
      </c>
      <c r="N5" t="str">
        <v/>
      </c>
      <c r="O5" t="str">
        <v/>
      </c>
      <c r="P5" t="str">
        <v/>
      </c>
      <c r="Q5" t="str">
        <v>2026-06-30</v>
      </c>
      <c r="R5" t="str">
        <f>IF(Q5="","","Q"&amp;ROUNDUP(MONTH(Q5)/3,0)&amp;"-"&amp;YEAR(Q5))</f>
        <v>Q2-2026</v>
      </c>
      <c r="S5" t="str">
        <v>Producción</v>
      </c>
      <c r="T5" t="str">
        <v/>
      </c>
      <c r="U5" t="str">
        <v/>
      </c>
      <c r="V5" t="str">
        <v/>
      </c>
      <c r="W5" t="str">
        <v>Media</v>
      </c>
      <c r="X5" t="str">
        <v/>
      </c>
      <c r="Y5" t="str">
        <v/>
      </c>
      <c r="Z5" t="str">
        <v/>
      </c>
      <c r="AA5" t="str">
        <v/>
      </c>
      <c r="AB5" t="str">
        <v/>
      </c>
      <c r="AC5" t="str">
        <v/>
      </c>
    </row>
    <row r="6">
      <c r="A6" t="str">
        <v>HIST-0005</v>
      </c>
      <c r="B6" t="str">
        <v>D0005</v>
      </c>
      <c r="C6" t="str">
        <v>Satélite de Riesgos R1</v>
      </c>
      <c r="D6" t="str">
        <v/>
      </c>
      <c r="E6" t="str">
        <v>Creación</v>
      </c>
      <c r="F6" t="str">
        <v>OP-0010, OP-0011</v>
      </c>
      <c r="G6" t="str">
        <v>Vanessa Vera / Miguel García</v>
      </c>
      <c r="H6" t="str">
        <v>Nelson Cuba</v>
      </c>
      <c r="I6" t="str">
        <v>Paola Casanova</v>
      </c>
      <c r="J6" t="str">
        <v>Wilfredo Centurion / Carlos Zuñiga</v>
      </c>
      <c r="K6" t="str">
        <v>Alan Gutierrez</v>
      </c>
      <c r="L6" t="str">
        <v>nueva APP, CRM, Urpi Pro, Yape</v>
      </c>
      <c r="M6" t="str">
        <v>2026-07-07</v>
      </c>
      <c r="N6" t="str">
        <v/>
      </c>
      <c r="O6" t="str">
        <v/>
      </c>
      <c r="P6" t="str">
        <v/>
      </c>
      <c r="Q6" t="str">
        <v>2026-07-13</v>
      </c>
      <c r="R6" t="str">
        <f>IF(Q6="","","Q"&amp;ROUNDUP(MONTH(Q6)/3,0)&amp;"-"&amp;YEAR(Q6))</f>
        <v>Q3-2026</v>
      </c>
      <c r="S6" t="str">
        <v>Producción</v>
      </c>
      <c r="T6" t="str">
        <v/>
      </c>
      <c r="U6" t="str">
        <v/>
      </c>
      <c r="V6" t="str">
        <v/>
      </c>
      <c r="W6" t="str">
        <v>Media</v>
      </c>
      <c r="X6" t="str">
        <v/>
      </c>
      <c r="Y6" t="str">
        <v/>
      </c>
      <c r="Z6" t="str">
        <v/>
      </c>
      <c r="AA6" t="str">
        <v/>
      </c>
      <c r="AB6" t="str">
        <v/>
      </c>
      <c r="AC6" t="str">
        <v>Replanificado para pasar en Q3</v>
      </c>
    </row>
    <row r="7">
      <c r="A7" t="str">
        <v>HIST-0006</v>
      </c>
      <c r="B7" t="str">
        <v>D0006</v>
      </c>
      <c r="C7" t="str">
        <v>Satélite de Riesgos R1</v>
      </c>
      <c r="D7" t="str">
        <v/>
      </c>
      <c r="E7" t="str">
        <v>Modificación</v>
      </c>
      <c r="F7" t="str">
        <v>OP-0012</v>
      </c>
      <c r="G7" t="str">
        <v>Vanessa Vera / Miguel García</v>
      </c>
      <c r="H7" t="str">
        <v>Nelson Cuba</v>
      </c>
      <c r="I7" t="str">
        <v>Paola Casanova</v>
      </c>
      <c r="J7" t="str">
        <v>Wilfredo Centurion / Carlos Zuñiga</v>
      </c>
      <c r="K7" t="str">
        <v>Alan Gutierrez</v>
      </c>
      <c r="L7" t="str">
        <v>nueva APP, CRM, Urpi Pro, Yape</v>
      </c>
      <c r="M7" t="str">
        <v>2026-07-07</v>
      </c>
      <c r="N7" t="str">
        <v/>
      </c>
      <c r="O7" t="str">
        <v/>
      </c>
      <c r="P7" t="str">
        <v/>
      </c>
      <c r="Q7" t="str">
        <v>2026-06-30</v>
      </c>
      <c r="R7" t="str">
        <f>IF(Q7="","","Q"&amp;ROUNDUP(MONTH(Q7)/3,0)&amp;"-"&amp;YEAR(Q7))</f>
        <v>Q2-2026</v>
      </c>
      <c r="S7" t="str">
        <v>Producción</v>
      </c>
      <c r="T7" t="str">
        <v/>
      </c>
      <c r="U7" t="str">
        <v/>
      </c>
      <c r="V7" t="str">
        <v/>
      </c>
      <c r="W7" t="str">
        <v>Media</v>
      </c>
      <c r="X7" t="str">
        <v/>
      </c>
      <c r="Y7" t="str">
        <v/>
      </c>
      <c r="Z7" t="str">
        <v/>
      </c>
      <c r="AA7" t="str">
        <v/>
      </c>
      <c r="AB7" t="str">
        <v/>
      </c>
      <c r="AC7" t="str">
        <v/>
      </c>
    </row>
    <row r="8">
      <c r="A8" t="str">
        <v>HIST-0007</v>
      </c>
      <c r="B8" t="str">
        <v>D0007</v>
      </c>
      <c r="C8" t="str">
        <v>Satélite de Riesgos "Base Negativa"</v>
      </c>
      <c r="D8" t="str">
        <v/>
      </c>
      <c r="E8" t="str">
        <v>Reutilización</v>
      </c>
      <c r="F8" t="str">
        <v/>
      </c>
      <c r="G8" t="str">
        <v>Vanessa Vera / Miguel García</v>
      </c>
      <c r="H8" t="str">
        <v>Nelson Cuba</v>
      </c>
      <c r="I8" t="str">
        <v>Paola Casanova</v>
      </c>
      <c r="J8" t="str">
        <v>Wilfredo Centurion / Carlos Zuñiga</v>
      </c>
      <c r="K8" t="str">
        <v>Alan Gutierrez</v>
      </c>
      <c r="L8" t="str">
        <v>nueva APP, CRM, Urpi Pro, Yape</v>
      </c>
      <c r="M8" t="str">
        <v>2026-07-07</v>
      </c>
      <c r="N8" t="str">
        <v/>
      </c>
      <c r="O8" t="str">
        <v/>
      </c>
      <c r="P8" t="str">
        <v/>
      </c>
      <c r="Q8" t="str">
        <v>2026-12-31</v>
      </c>
      <c r="R8" t="str">
        <f>IF(Q8="","","Q"&amp;ROUNDUP(MONTH(Q8)/3,0)&amp;"-"&amp;YEAR(Q8))</f>
        <v>Q4-2026</v>
      </c>
      <c r="S8" t="str">
        <v>Producción</v>
      </c>
      <c r="T8" t="str">
        <v/>
      </c>
      <c r="U8" t="str">
        <v/>
      </c>
      <c r="V8" t="str">
        <v/>
      </c>
      <c r="W8" t="str">
        <v>Media</v>
      </c>
      <c r="X8" t="str">
        <v/>
      </c>
      <c r="Y8" t="str">
        <v/>
      </c>
      <c r="Z8" t="str">
        <v/>
      </c>
      <c r="AA8" t="str">
        <v/>
      </c>
      <c r="AB8" t="str">
        <v/>
      </c>
      <c r="AC8" t="str">
        <v>Se reusará en Q4</v>
      </c>
    </row>
    <row r="9">
      <c r="A9" t="str">
        <v>HIST-0008</v>
      </c>
      <c r="B9" t="str">
        <v>D0008</v>
      </c>
      <c r="C9" t="str">
        <v>Satélite de Riesgos R1</v>
      </c>
      <c r="D9" t="str">
        <v/>
      </c>
      <c r="E9" t="str">
        <v>Creación</v>
      </c>
      <c r="F9" t="str">
        <v/>
      </c>
      <c r="G9" t="str">
        <v>Vanessa Vera / Miguel García</v>
      </c>
      <c r="H9" t="str">
        <v>Nelson Cuba</v>
      </c>
      <c r="I9" t="str">
        <v>Paola Casanova</v>
      </c>
      <c r="J9" t="str">
        <v>Wilfredo Centurion / Carlos Zuñiga</v>
      </c>
      <c r="K9" t="str">
        <v>Alan Gutierrez</v>
      </c>
      <c r="L9" t="str">
        <v>nueva APP, CRM, Urpi Pro, Yape</v>
      </c>
      <c r="M9" t="str">
        <v>2026-07-07</v>
      </c>
      <c r="N9" t="str">
        <v/>
      </c>
      <c r="O9" t="str">
        <v/>
      </c>
      <c r="P9" t="str">
        <v/>
      </c>
      <c r="Q9" t="str">
        <v>2026-07-13</v>
      </c>
      <c r="R9" t="str">
        <f>IF(Q9="","","Q"&amp;ROUNDUP(MONTH(Q9)/3,0)&amp;"-"&amp;YEAR(Q9))</f>
        <v>Q3-2026</v>
      </c>
      <c r="S9" t="str">
        <v>Producción</v>
      </c>
      <c r="T9" t="str">
        <v/>
      </c>
      <c r="U9" t="str">
        <v/>
      </c>
      <c r="V9" t="str">
        <v/>
      </c>
      <c r="W9" t="str">
        <v>Media</v>
      </c>
      <c r="X9" t="str">
        <v/>
      </c>
      <c r="Y9" t="str">
        <v/>
      </c>
      <c r="Z9" t="str">
        <v>2026-07-21</v>
      </c>
      <c r="AA9" t="str">
        <v/>
      </c>
      <c r="AB9" t="str">
        <v/>
      </c>
      <c r="AC9" t="str">
        <v>Replanificado para el Q3</v>
      </c>
    </row>
    <row r="10">
      <c r="A10" t="str">
        <v>HIST-0009</v>
      </c>
      <c r="B10" t="str">
        <v>D0005</v>
      </c>
      <c r="C10" t="str">
        <v>Satélite de Riesgos R2</v>
      </c>
      <c r="D10" t="str">
        <v/>
      </c>
      <c r="E10" t="str">
        <v>Modificación</v>
      </c>
      <c r="F10" t="str">
        <v>OP-0010</v>
      </c>
      <c r="G10" t="str">
        <v>Vanessa Vera / Miguel García</v>
      </c>
      <c r="H10" t="str">
        <v>Nelson Cuba</v>
      </c>
      <c r="I10" t="str">
        <v>Paola Casanova</v>
      </c>
      <c r="J10" t="str">
        <v>Wilfredo Centurion / Carlos Zuñiga</v>
      </c>
      <c r="K10" t="str">
        <v>Alan Gutierrez</v>
      </c>
      <c r="L10" t="str">
        <v>nueva APP, CRM, Urpi Pro, Yape</v>
      </c>
      <c r="M10" t="str">
        <v>2026-07-07</v>
      </c>
      <c r="N10" t="str">
        <v/>
      </c>
      <c r="O10" t="str">
        <v/>
      </c>
      <c r="P10" t="str">
        <v/>
      </c>
      <c r="Q10" t="str">
        <v>2026-09-30</v>
      </c>
      <c r="R10" t="str">
        <f>IF(Q10="","","Q"&amp;ROUNDUP(MONTH(Q10)/3,0)&amp;"-"&amp;YEAR(Q10))</f>
        <v>Q3-2026</v>
      </c>
      <c r="S10" t="str">
        <v>Producción</v>
      </c>
      <c r="T10" t="str">
        <v/>
      </c>
      <c r="U10" t="str">
        <v/>
      </c>
      <c r="V10" t="str">
        <v/>
      </c>
      <c r="W10" t="str">
        <v>Media</v>
      </c>
      <c r="X10" t="str">
        <v/>
      </c>
      <c r="Y10" t="str">
        <v/>
      </c>
      <c r="Z10" t="str">
        <v/>
      </c>
      <c r="AA10" t="str">
        <v/>
      </c>
      <c r="AB10" t="str">
        <v/>
      </c>
      <c r="AC10" t="str">
        <v/>
      </c>
    </row>
    <row r="11" xml:space="preserve">
      <c r="A11" t="str">
        <v>HIST-0010</v>
      </c>
      <c r="B11" t="str">
        <v>D0001</v>
      </c>
      <c r="C11" t="str">
        <v>Satélite de Riesgos R3</v>
      </c>
      <c r="D11" t="str">
        <v/>
      </c>
      <c r="E11" t="str">
        <v>Modificación</v>
      </c>
      <c r="F11" t="str">
        <v/>
      </c>
      <c r="G11" t="str">
        <v>Vanessa Vera / Miguel García</v>
      </c>
      <c r="H11" t="str">
        <v>Nelson Cuba</v>
      </c>
      <c r="I11" t="str">
        <v>Paola Casanova</v>
      </c>
      <c r="J11" t="str">
        <v>Wilfredo Centurion / Carlos Zuñiga</v>
      </c>
      <c r="K11" t="str">
        <v>Alan Gutierrez</v>
      </c>
      <c r="L11" t="str">
        <v>nueva APP, CRM, Urpi Pro, Yape</v>
      </c>
      <c r="M11" t="str">
        <v>2026-07-07</v>
      </c>
      <c r="N11" t="str">
        <v/>
      </c>
      <c r="O11" t="str">
        <v/>
      </c>
      <c r="P11" t="str">
        <v/>
      </c>
      <c r="Q11" t="str">
        <v>2026-09-30</v>
      </c>
      <c r="R11" t="str">
        <f>IF(Q11="","","Q"&amp;ROUNDUP(MONTH(Q11)/3,0)&amp;"-"&amp;YEAR(Q11))</f>
        <v>Q3-2026</v>
      </c>
      <c r="S11" t="str">
        <v>Calidad</v>
      </c>
      <c r="T11" t="str">
        <v/>
      </c>
      <c r="U11" t="str">
        <v/>
      </c>
      <c r="V11" t="str">
        <v/>
      </c>
      <c r="W11" t="str">
        <v>Media</v>
      </c>
      <c r="X11" t="str">
        <v/>
      </c>
      <c r="Y11" t="str">
        <v/>
      </c>
      <c r="Z11" t="str">
        <v/>
      </c>
      <c r="AA11" t="str">
        <v/>
      </c>
      <c r="AB11" t="str">
        <v/>
      </c>
      <c r="AC11" t="str" xml:space="preserve">
        <v xml:space="preserve">- La primera version de la arquitectura fue entragada el 06/03/2026. _x000d__x000d__x000d_
- Se solicitó un cambio del alcance, la segunda version de la arquitectura se entrego 11/05/2026._x000d__x000d__x000d_
- Salio del Alcance por cambios en la definicion de obtención de variables, paso de ser consumo en API para agregar datos a inputs desde el canal. _x000d__x000d__x000d_
</v>
      </c>
    </row>
    <row r="12" xml:space="preserve">
      <c r="A12" t="str">
        <v>HIST-0011</v>
      </c>
      <c r="B12" t="str">
        <v>D0002</v>
      </c>
      <c r="C12" t="str">
        <v>Satélite de Riesgos R3</v>
      </c>
      <c r="D12" t="str">
        <v/>
      </c>
      <c r="E12" t="str">
        <v>Modificación</v>
      </c>
      <c r="F12" t="str">
        <v/>
      </c>
      <c r="G12" t="str">
        <v>Vanessa Vera / Miguel García</v>
      </c>
      <c r="H12" t="str">
        <v>Nelson Cuba</v>
      </c>
      <c r="I12" t="str">
        <v>Paola Casanova</v>
      </c>
      <c r="J12" t="str">
        <v>Wilfredo Centurion / Carlos Zuñiga</v>
      </c>
      <c r="K12" t="str">
        <v>Alan Gutierrez</v>
      </c>
      <c r="L12" t="str">
        <v>nueva APP, CRM, Urpi Pro, Yape</v>
      </c>
      <c r="M12" t="str">
        <v>2026-07-07</v>
      </c>
      <c r="N12" t="str">
        <v/>
      </c>
      <c r="O12" t="str">
        <v/>
      </c>
      <c r="P12" t="str">
        <v/>
      </c>
      <c r="Q12" t="str">
        <v>2026-09-30</v>
      </c>
      <c r="R12" t="str">
        <f>IF(Q12="","","Q"&amp;ROUNDUP(MONTH(Q12)/3,0)&amp;"-"&amp;YEAR(Q12))</f>
        <v>Q3-2026</v>
      </c>
      <c r="S12" t="str">
        <v>Calidad</v>
      </c>
      <c r="T12" t="str">
        <v/>
      </c>
      <c r="U12" t="str">
        <v/>
      </c>
      <c r="V12" t="str">
        <v/>
      </c>
      <c r="W12" t="str">
        <v>Media</v>
      </c>
      <c r="X12" t="str">
        <v/>
      </c>
      <c r="Y12" t="str">
        <v/>
      </c>
      <c r="Z12" t="str">
        <v/>
      </c>
      <c r="AA12" t="str">
        <v/>
      </c>
      <c r="AB12" t="str">
        <v/>
      </c>
      <c r="AC12" t="str" xml:space="preserve">
        <v xml:space="preserve">- La primera version de la arquitectura fue entragada el 06/03/2026. _x000d__x000d__x000d_
- Se solicitó un cambio del alcance, la segunda version de la arquitectura se entrego 11/05/2026._x000d__x000d__x000d_
</v>
      </c>
    </row>
    <row r="13" xml:space="preserve">
      <c r="A13" t="str">
        <v>HIST-0012</v>
      </c>
      <c r="B13" t="str">
        <v>D0009</v>
      </c>
      <c r="C13" t="str">
        <v>Satélite de Riesgos R3</v>
      </c>
      <c r="D13" t="str">
        <v/>
      </c>
      <c r="E13" t="str">
        <v>Modificación</v>
      </c>
      <c r="F13" t="str">
        <v>OP-0014</v>
      </c>
      <c r="G13" t="str">
        <v>Vanessa Vera / Miguel García</v>
      </c>
      <c r="H13" t="str">
        <v>Nelson Cuba</v>
      </c>
      <c r="I13" t="str">
        <v>Paola Casanova</v>
      </c>
      <c r="J13" t="str">
        <v>Wilfredo Centurion / Carlos Zuñiga</v>
      </c>
      <c r="K13" t="str">
        <v>Alan Gutierrez</v>
      </c>
      <c r="L13" t="str">
        <v>nueva APP, CRM, Urpi Pro, Yape</v>
      </c>
      <c r="M13" t="str">
        <v>2026-07-07</v>
      </c>
      <c r="N13" t="str">
        <v/>
      </c>
      <c r="O13" t="str">
        <v/>
      </c>
      <c r="P13" t="str">
        <v/>
      </c>
      <c r="Q13" t="str">
        <v>2026-09-30</v>
      </c>
      <c r="R13" t="str">
        <f>IF(Q13="","","Q"&amp;ROUNDUP(MONTH(Q13)/3,0)&amp;"-"&amp;YEAR(Q13))</f>
        <v>Q3-2026</v>
      </c>
      <c r="S13" t="str">
        <v>Calidad</v>
      </c>
      <c r="T13" t="str">
        <v/>
      </c>
      <c r="U13" t="str">
        <v/>
      </c>
      <c r="V13" t="str">
        <v/>
      </c>
      <c r="W13" t="str">
        <v>Media</v>
      </c>
      <c r="X13" t="str">
        <v/>
      </c>
      <c r="Y13" t="str">
        <v/>
      </c>
      <c r="Z13" t="str">
        <v/>
      </c>
      <c r="AA13" t="str">
        <v/>
      </c>
      <c r="AB13" t="str">
        <v/>
      </c>
      <c r="AC13" t="str" xml:space="preserve">
        <v xml:space="preserve">- La primera version de la arquitectura fue entragada el 06/03/2026. _x000d__x000d__x000d_
- Se solicitó un cambio del alcance, la segunda version de la arquitectura se entrego 11/05/2026._x000d__x000d__x000d_
</v>
      </c>
    </row>
    <row r="14" xml:space="preserve">
      <c r="A14" t="str">
        <v>HIST-0013</v>
      </c>
      <c r="B14" t="str">
        <v>D0010</v>
      </c>
      <c r="C14" t="str">
        <v>Satélite de Riesgos R3</v>
      </c>
      <c r="D14" t="str">
        <v/>
      </c>
      <c r="E14" t="str">
        <v>Modificación</v>
      </c>
      <c r="F14" t="str">
        <v/>
      </c>
      <c r="G14" t="str">
        <v>Vanessa Vera / Miguel García</v>
      </c>
      <c r="H14" t="str">
        <v>Nelson Cuba</v>
      </c>
      <c r="I14" t="str">
        <v>Paola Casanova</v>
      </c>
      <c r="J14" t="str">
        <v>Wilfredo Centurion / Carlos Zuñiga</v>
      </c>
      <c r="K14" t="str">
        <v>Alan Gutierrez</v>
      </c>
      <c r="L14" t="str">
        <v>nueva APP, CRM, Urpi Pro, Yape</v>
      </c>
      <c r="M14" t="str">
        <v>2026-07-07</v>
      </c>
      <c r="N14" t="str">
        <v/>
      </c>
      <c r="O14" t="str">
        <v/>
      </c>
      <c r="P14" t="str">
        <v/>
      </c>
      <c r="Q14" t="str">
        <v>2026-09-30</v>
      </c>
      <c r="R14" t="str">
        <f>IF(Q14="","","Q"&amp;ROUNDUP(MONTH(Q14)/3,0)&amp;"-"&amp;YEAR(Q14))</f>
        <v>Q3-2026</v>
      </c>
      <c r="S14" t="str">
        <v>Calidad</v>
      </c>
      <c r="T14" t="str">
        <v/>
      </c>
      <c r="U14" t="str">
        <v/>
      </c>
      <c r="V14" t="str">
        <v/>
      </c>
      <c r="W14" t="str">
        <v>Media</v>
      </c>
      <c r="X14" t="str">
        <v/>
      </c>
      <c r="Y14" t="str">
        <v/>
      </c>
      <c r="Z14" t="str">
        <v/>
      </c>
      <c r="AA14" t="str">
        <v/>
      </c>
      <c r="AB14" t="str">
        <v/>
      </c>
      <c r="AC14" t="str" xml:space="preserve">
        <v xml:space="preserve">- La primera version de la arquitectura fue entragada el 06/03/2026. _x000d__x000d__x000d_
- Se solicitó un cambio del alcance, la segunda version de la arquitectura se entrego 11/05/2026._x000d__x000d__x000d_
- Salio del Alcance  por la definición de obtención de variables. Luego del analisis hacia sentido que las variables se obtengan del Customer Offer._x000d__x000d__x000d_
</v>
      </c>
    </row>
    <row r="15" xml:space="preserve">
      <c r="A15" t="str">
        <v>HIST-0014</v>
      </c>
      <c r="B15" t="str">
        <v>D0005</v>
      </c>
      <c r="C15" t="str">
        <v>Satélite de Riesgos R3</v>
      </c>
      <c r="D15" t="str">
        <v/>
      </c>
      <c r="E15" t="str">
        <v>Modificación</v>
      </c>
      <c r="F15" t="str">
        <v/>
      </c>
      <c r="G15" t="str">
        <v>Vanessa Vera / Miguel García</v>
      </c>
      <c r="H15" t="str">
        <v>Nelson Cuba</v>
      </c>
      <c r="I15" t="str">
        <v>Paola Casanova</v>
      </c>
      <c r="J15" t="str">
        <v>Wilfredo Centurion / Carlos Zuñiga</v>
      </c>
      <c r="K15" t="str">
        <v>Alan Gutierrez</v>
      </c>
      <c r="L15" t="str">
        <v>nueva APP, CRM, Urpi Pro, Yape</v>
      </c>
      <c r="M15" t="str">
        <v>2026-07-07</v>
      </c>
      <c r="N15" t="str">
        <v/>
      </c>
      <c r="O15" t="str">
        <v/>
      </c>
      <c r="P15" t="str">
        <v/>
      </c>
      <c r="Q15" t="str">
        <v>2026-09-30</v>
      </c>
      <c r="R15" t="str">
        <f>IF(Q15="","","Q"&amp;ROUNDUP(MONTH(Q15)/3,0)&amp;"-"&amp;YEAR(Q15))</f>
        <v>Q3-2026</v>
      </c>
      <c r="S15" t="str">
        <v>Calidad</v>
      </c>
      <c r="T15" t="str">
        <v/>
      </c>
      <c r="U15" t="str">
        <v/>
      </c>
      <c r="V15" t="str">
        <v/>
      </c>
      <c r="W15" t="str">
        <v>Media</v>
      </c>
      <c r="X15" t="str">
        <v/>
      </c>
      <c r="Y15" t="str">
        <v/>
      </c>
      <c r="Z15" t="str">
        <v/>
      </c>
      <c r="AA15" t="str">
        <v/>
      </c>
      <c r="AB15" t="str">
        <v/>
      </c>
      <c r="AC15" t="str" xml:space="preserve">
        <v xml:space="preserve">- La primera version de la arquitectura fue entragada el 06/03/2026. _x000d__x000d__x000d_
- Se solicitó un cambio del alcance, la segunda version de la arquitectura se entrego 11/05/2026._x000d__x000d__x000d_
</v>
      </c>
    </row>
    <row r="16" xml:space="preserve">
      <c r="A16" t="str">
        <v>HIST-0015</v>
      </c>
      <c r="B16" t="str">
        <v>D0006</v>
      </c>
      <c r="C16" t="str">
        <v>Satélite de Riesgos R3</v>
      </c>
      <c r="D16" t="str">
        <v/>
      </c>
      <c r="E16" t="str">
        <v>Modificación</v>
      </c>
      <c r="F16" t="str">
        <v/>
      </c>
      <c r="G16" t="str">
        <v>Vanessa Vera / Miguel García</v>
      </c>
      <c r="H16" t="str">
        <v>Nelson Cuba</v>
      </c>
      <c r="I16" t="str">
        <v>Paola Casanova</v>
      </c>
      <c r="J16" t="str">
        <v>Wilfredo Centurion / Carlos Zuñiga</v>
      </c>
      <c r="K16" t="str">
        <v>Alan Gutierrez</v>
      </c>
      <c r="L16" t="str">
        <v>nueva APP, CRM, Urpi Pro, Yape</v>
      </c>
      <c r="M16" t="str">
        <v>2026-07-07</v>
      </c>
      <c r="N16" t="str">
        <v/>
      </c>
      <c r="O16" t="str">
        <v/>
      </c>
      <c r="P16" t="str">
        <v/>
      </c>
      <c r="Q16" t="str">
        <v>2026-09-30</v>
      </c>
      <c r="R16" t="str">
        <f>IF(Q16="","","Q"&amp;ROUNDUP(MONTH(Q16)/3,0)&amp;"-"&amp;YEAR(Q16))</f>
        <v>Q3-2026</v>
      </c>
      <c r="S16" t="str">
        <v>Calidad</v>
      </c>
      <c r="T16" t="str">
        <v/>
      </c>
      <c r="U16" t="str">
        <v/>
      </c>
      <c r="V16" t="str">
        <v/>
      </c>
      <c r="W16" t="str">
        <v>Media</v>
      </c>
      <c r="X16" t="str">
        <v/>
      </c>
      <c r="Y16" t="str">
        <v/>
      </c>
      <c r="Z16" t="str">
        <v/>
      </c>
      <c r="AA16" t="str">
        <v/>
      </c>
      <c r="AB16" t="str">
        <v/>
      </c>
      <c r="AC16" t="str" xml:space="preserve">
        <v xml:space="preserve">- La primera version de la arquitectura fue entragada el 06/03/2026. _x000d__x000d__x000d_
- Se solicitó un cambio del alcance, la segunda version de la arquitectura se entrego 11/05/2026._x000d__x000d__x000d_
</v>
      </c>
    </row>
    <row r="17" xml:space="preserve">
      <c r="A17" t="str">
        <v>HIST-0016</v>
      </c>
      <c r="B17" t="str">
        <v>D0008</v>
      </c>
      <c r="C17" t="str">
        <v>Satélite de Riesgos R3</v>
      </c>
      <c r="D17" t="str">
        <v/>
      </c>
      <c r="E17" t="str">
        <v>Modificación</v>
      </c>
      <c r="F17" t="str">
        <v/>
      </c>
      <c r="G17" t="str">
        <v>Vanessa Vera / Miguel García</v>
      </c>
      <c r="H17" t="str">
        <v>Nelson Cuba</v>
      </c>
      <c r="I17" t="str">
        <v>Paola Casanova</v>
      </c>
      <c r="J17" t="str">
        <v>Wilfredo Centurion / Carlos Zuñiga</v>
      </c>
      <c r="K17" t="str">
        <v>Alan Gutierrez</v>
      </c>
      <c r="L17" t="str">
        <v>nueva APP, CRM, Urpi Pro, Yape</v>
      </c>
      <c r="M17" t="str">
        <v>2026-07-07</v>
      </c>
      <c r="N17" t="str">
        <v/>
      </c>
      <c r="O17" t="str">
        <v/>
      </c>
      <c r="P17" t="str">
        <v/>
      </c>
      <c r="Q17" t="str">
        <v>2026-09-30</v>
      </c>
      <c r="R17" t="str">
        <f>IF(Q17="","","Q"&amp;ROUNDUP(MONTH(Q17)/3,0)&amp;"-"&amp;YEAR(Q17))</f>
        <v>Q3-2026</v>
      </c>
      <c r="S17" t="str">
        <v>Calidad</v>
      </c>
      <c r="T17" t="str">
        <v/>
      </c>
      <c r="U17" t="str">
        <v/>
      </c>
      <c r="V17" t="str">
        <v/>
      </c>
      <c r="W17" t="str">
        <v>Media</v>
      </c>
      <c r="X17" t="str">
        <v/>
      </c>
      <c r="Y17" t="str">
        <v/>
      </c>
      <c r="Z17" t="str">
        <v/>
      </c>
      <c r="AA17" t="str">
        <v/>
      </c>
      <c r="AB17" t="str">
        <v/>
      </c>
      <c r="AC17" t="str" xml:space="preserve">
        <v xml:space="preserve">- La primera version de la arquitectura fue entragada el 06/03/2026. _x000d__x000d__x000d_
- Se solicitó un cambio del alcance, la segunda version de la arquitectura se entrego 11/05/2026._x000d__x000d__x000d_
</v>
      </c>
    </row>
    <row r="18">
      <c r="A18" t="str">
        <v>HIST-0017</v>
      </c>
      <c r="B18" t="str">
        <v>D0011</v>
      </c>
      <c r="C18" t="str">
        <v>Satélite de Riesgos "Base Negativa"</v>
      </c>
      <c r="D18" t="str">
        <v/>
      </c>
      <c r="E18" t="str">
        <v>Creación</v>
      </c>
      <c r="F18" t="str">
        <v/>
      </c>
      <c r="G18" t="str">
        <v>Vanessa Vera / Miguel García</v>
      </c>
      <c r="H18" t="str">
        <v>Nelson Cuba</v>
      </c>
      <c r="I18" t="str">
        <v>Paola Casanova</v>
      </c>
      <c r="J18" t="str">
        <v>Wilfredo Centurion / Carlos Zuñiga</v>
      </c>
      <c r="K18" t="str">
        <v>Alan Gutierrez</v>
      </c>
      <c r="L18" t="str">
        <v>nueva APP, CRM, Urpi Pro, Yape</v>
      </c>
      <c r="M18" t="str">
        <v>2026-07-07</v>
      </c>
      <c r="N18" t="str">
        <v/>
      </c>
      <c r="O18" t="str">
        <v/>
      </c>
      <c r="P18" t="str">
        <v/>
      </c>
      <c r="Q18" t="str">
        <v>2026-12-31</v>
      </c>
      <c r="R18" t="str">
        <f>IF(Q18="","","Q"&amp;ROUNDUP(MONTH(Q18)/3,0)&amp;"-"&amp;YEAR(Q18))</f>
        <v>Q4-2026</v>
      </c>
      <c r="S18" t="str">
        <v>Desarrollo</v>
      </c>
      <c r="T18" t="str">
        <v/>
      </c>
      <c r="U18" t="str">
        <v/>
      </c>
      <c r="V18" t="str">
        <v/>
      </c>
      <c r="W18" t="str">
        <v>Media</v>
      </c>
      <c r="X18" t="str">
        <v/>
      </c>
      <c r="Y18" t="str">
        <v/>
      </c>
      <c r="Z18" t="str">
        <v/>
      </c>
      <c r="AA18" t="str">
        <v/>
      </c>
      <c r="AB18" t="str">
        <v/>
      </c>
      <c r="AC18" t="str">
        <v>- Satelite de Riesgos R4 según programa del CORE se denomina Base Negativa, API se entrega en Q4</v>
      </c>
    </row>
    <row r="19">
      <c r="A19" t="str">
        <v>HIST-0018</v>
      </c>
      <c r="B19" t="str">
        <v>D0008</v>
      </c>
      <c r="C19" t="str">
        <v>Satélite de Riesgos "Base Negativa"</v>
      </c>
      <c r="D19" t="str">
        <v/>
      </c>
      <c r="E19" t="str">
        <v>Modificación</v>
      </c>
      <c r="F19" t="str">
        <v/>
      </c>
      <c r="G19" t="str">
        <v>Vanessa Vera / Miguel García</v>
      </c>
      <c r="H19" t="str">
        <v>Nelson Cuba</v>
      </c>
      <c r="I19" t="str">
        <v>Paola Casanova</v>
      </c>
      <c r="J19" t="str">
        <v>Wilfredo Centurion / Carlos Zuñiga</v>
      </c>
      <c r="K19" t="str">
        <v>Alan Gutierrez</v>
      </c>
      <c r="L19" t="str">
        <v>nueva APP, CRM, Urpi Pro, Yape</v>
      </c>
      <c r="M19" t="str">
        <v>2026-07-07</v>
      </c>
      <c r="N19" t="str">
        <v/>
      </c>
      <c r="O19" t="str">
        <v/>
      </c>
      <c r="P19" t="str">
        <v/>
      </c>
      <c r="Q19" t="str">
        <v>2026-12-31</v>
      </c>
      <c r="R19" t="str">
        <f>IF(Q19="","","Q"&amp;ROUNDUP(MONTH(Q19)/3,0)&amp;"-"&amp;YEAR(Q19))</f>
        <v>Q4-2026</v>
      </c>
      <c r="S19" t="str">
        <v>Desarrollo</v>
      </c>
      <c r="T19" t="str">
        <v/>
      </c>
      <c r="U19" t="str">
        <v/>
      </c>
      <c r="V19" t="str">
        <v/>
      </c>
      <c r="W19" t="str">
        <v>Media</v>
      </c>
      <c r="X19" t="str">
        <v/>
      </c>
      <c r="Y19" t="str">
        <v/>
      </c>
      <c r="Z19" t="str">
        <v/>
      </c>
      <c r="AA19" t="str">
        <v/>
      </c>
      <c r="AB19" t="str">
        <v/>
      </c>
      <c r="AC19" t="str">
        <v>- Satelite de Riesgos R4 según programa del CORE se denomina Base Negativa. APi se entrega en Q$</v>
      </c>
    </row>
    <row r="20">
      <c r="A20" t="str">
        <v>HIST-0019</v>
      </c>
      <c r="B20" t="str">
        <v>D0012</v>
      </c>
      <c r="C20" t="str">
        <v>Satelite de Seguros</v>
      </c>
      <c r="D20" t="str">
        <v/>
      </c>
      <c r="E20" t="str">
        <v>Modificación</v>
      </c>
      <c r="F20" t="str">
        <v/>
      </c>
      <c r="G20" t="str">
        <v>Cesar Kroll</v>
      </c>
      <c r="H20" t="str">
        <v>Sin TTL</v>
      </c>
      <c r="I20" t="str">
        <v>Estefany Pimentel</v>
      </c>
      <c r="J20" t="str">
        <v>Walter Rosado</v>
      </c>
      <c r="K20" t="str">
        <v>Christian Tineo</v>
      </c>
      <c r="L20" t="str">
        <v>Todos los canales que venden creditos</v>
      </c>
      <c r="M20" t="str">
        <v>2026-07-08</v>
      </c>
      <c r="N20" t="str">
        <v/>
      </c>
      <c r="O20" t="str">
        <v/>
      </c>
      <c r="P20" t="str">
        <v/>
      </c>
      <c r="Q20" t="str">
        <v>TBD</v>
      </c>
      <c r="R20" t="str">
        <f>IF(Q20="","","Q"&amp;ROUNDUP(MONTH(Q20)/3,0)&amp;"-"&amp;YEAR(Q20))</f>
        <v/>
      </c>
      <c r="S20" t="str">
        <v>Identificado</v>
      </c>
      <c r="T20" t="str">
        <v/>
      </c>
      <c r="U20" t="str">
        <v/>
      </c>
      <c r="V20" t="str">
        <v/>
      </c>
      <c r="W20" t="str">
        <v>Media</v>
      </c>
      <c r="X20" t="str">
        <v/>
      </c>
      <c r="Y20" t="str">
        <v/>
      </c>
      <c r="Z20" t="str">
        <v/>
      </c>
      <c r="AA20" t="str">
        <v/>
      </c>
      <c r="AB20" t="str">
        <v/>
      </c>
      <c r="AC20" t="str">
        <v>Proyecto de Satelite de Seguros en Discovery, se aterrizará el diseño de arquitectura detallada, definiran fechas de implementación. Neobanco lo paso en Q1, el Satelite Seguros lo modificará</v>
      </c>
    </row>
    <row r="21">
      <c r="A21" t="str">
        <v>HIST-0020</v>
      </c>
      <c r="B21" t="str">
        <v>D0013</v>
      </c>
      <c r="C21" t="str">
        <v>Satelite de Seguros</v>
      </c>
      <c r="D21" t="str">
        <v/>
      </c>
      <c r="E21" t="str">
        <v>Reutilización</v>
      </c>
      <c r="F21" t="str">
        <v/>
      </c>
      <c r="G21" t="str">
        <v>Cesar Kroll</v>
      </c>
      <c r="H21" t="str">
        <v>Sin TTL</v>
      </c>
      <c r="I21" t="str">
        <v>Estefany Pimentel</v>
      </c>
      <c r="J21" t="str">
        <v>Walter Rosado</v>
      </c>
      <c r="K21" t="str">
        <v>Christian Tineo</v>
      </c>
      <c r="L21" t="str">
        <v>Todos los canales que venden creditos</v>
      </c>
      <c r="M21" t="str">
        <v>2026-07-08</v>
      </c>
      <c r="N21" t="str">
        <v/>
      </c>
      <c r="O21" t="str">
        <v/>
      </c>
      <c r="P21" t="str">
        <v/>
      </c>
      <c r="Q21" t="str">
        <v>TBD</v>
      </c>
      <c r="R21" t="str">
        <f>IF(Q21="","","Q"&amp;ROUNDUP(MONTH(Q21)/3,0)&amp;"-"&amp;YEAR(Q21))</f>
        <v/>
      </c>
      <c r="S21" t="str">
        <v>Identificado</v>
      </c>
      <c r="T21" t="str">
        <v/>
      </c>
      <c r="U21" t="str">
        <v/>
      </c>
      <c r="V21" t="str">
        <v/>
      </c>
      <c r="W21" t="str">
        <v>Media</v>
      </c>
      <c r="X21" t="str">
        <v/>
      </c>
      <c r="Y21" t="str">
        <v/>
      </c>
      <c r="Z21" t="str">
        <v/>
      </c>
      <c r="AA21" t="str">
        <v/>
      </c>
      <c r="AB21" t="str">
        <v/>
      </c>
      <c r="AC21" t="str">
        <v>Proyecto de Satelite de Seguros en Discovery, se aterrizará el diseño de arquitectura detallada, definiran fechas de implementación. El Proyecto Interconexion lo creará en el Q3, El Satelite de Seguros debe confirmar si es modificacion, re-uso.</v>
      </c>
    </row>
    <row r="22">
      <c r="A22" t="str">
        <v>HIST-0021</v>
      </c>
      <c r="B22" t="str">
        <v>D0009</v>
      </c>
      <c r="C22" t="str">
        <v>Satelite de Seguros</v>
      </c>
      <c r="D22" t="str">
        <v/>
      </c>
      <c r="E22" t="str">
        <v>Modificación</v>
      </c>
      <c r="F22" t="str">
        <v/>
      </c>
      <c r="G22" t="str">
        <v>Cesar Kroll</v>
      </c>
      <c r="H22" t="str">
        <v>Sin TTL</v>
      </c>
      <c r="I22" t="str">
        <v>Estefany Pimentel</v>
      </c>
      <c r="J22" t="str">
        <v>Walter Rosado</v>
      </c>
      <c r="K22" t="str">
        <v>Christian Tineo</v>
      </c>
      <c r="L22" t="str">
        <v>Todos los canales que venden creditos</v>
      </c>
      <c r="M22" t="str">
        <v>2026-07-08</v>
      </c>
      <c r="N22" t="str">
        <v/>
      </c>
      <c r="O22" t="str">
        <v/>
      </c>
      <c r="P22" t="str">
        <v/>
      </c>
      <c r="Q22" t="str">
        <v>TBD</v>
      </c>
      <c r="R22" t="str">
        <f>IF(Q22="","","Q"&amp;ROUNDUP(MONTH(Q22)/3,0)&amp;"-"&amp;YEAR(Q22))</f>
        <v/>
      </c>
      <c r="S22" t="str">
        <v>Identificado</v>
      </c>
      <c r="T22" t="str">
        <v/>
      </c>
      <c r="U22" t="str">
        <v/>
      </c>
      <c r="V22" t="str">
        <v/>
      </c>
      <c r="W22" t="str">
        <v>Media</v>
      </c>
      <c r="X22" t="str">
        <v/>
      </c>
      <c r="Y22" t="str">
        <v/>
      </c>
      <c r="Z22" t="str">
        <v/>
      </c>
      <c r="AA22" t="str">
        <v/>
      </c>
      <c r="AB22" t="str">
        <v/>
      </c>
      <c r="AC22" t="str">
        <v>Proyecto de Satelite de Seguros en Discovery, se aterrizará el diseño de arquitectura detallada, definiran fechas de implementación. Neobanco lo paso en Q1, el Satelite Seguros lo modificará</v>
      </c>
    </row>
    <row r="23">
      <c r="A23" t="str">
        <v>HIST-0022</v>
      </c>
      <c r="B23" t="str">
        <v>D0014</v>
      </c>
      <c r="C23" t="str">
        <v>Satelite de Seguros</v>
      </c>
      <c r="D23" t="str">
        <v/>
      </c>
      <c r="E23" t="str">
        <v>Modificación</v>
      </c>
      <c r="F23" t="str">
        <v/>
      </c>
      <c r="G23" t="str">
        <v>Cesar Kroll</v>
      </c>
      <c r="H23" t="str">
        <v>Sin TTL</v>
      </c>
      <c r="I23" t="str">
        <v>Estefany Pimentel</v>
      </c>
      <c r="J23" t="str">
        <v>Walter Rosado</v>
      </c>
      <c r="K23" t="str">
        <v>Christian Tineo</v>
      </c>
      <c r="L23" t="str">
        <v>Todos los canales que venden creditos</v>
      </c>
      <c r="M23" t="str">
        <v>2026-07-08</v>
      </c>
      <c r="N23" t="str">
        <v/>
      </c>
      <c r="O23" t="str">
        <v/>
      </c>
      <c r="P23" t="str">
        <v/>
      </c>
      <c r="Q23" t="str">
        <v>TBD</v>
      </c>
      <c r="R23" t="str">
        <f>IF(Q23="","","Q"&amp;ROUNDUP(MONTH(Q23)/3,0)&amp;"-"&amp;YEAR(Q23))</f>
        <v/>
      </c>
      <c r="S23" t="str">
        <v>Identificado</v>
      </c>
      <c r="T23" t="str">
        <v/>
      </c>
      <c r="U23" t="str">
        <v/>
      </c>
      <c r="V23" t="str">
        <v/>
      </c>
      <c r="W23" t="str">
        <v>Media</v>
      </c>
      <c r="X23" t="str">
        <v/>
      </c>
      <c r="Y23" t="str">
        <v/>
      </c>
      <c r="Z23" t="str">
        <v/>
      </c>
      <c r="AA23" t="str">
        <v/>
      </c>
      <c r="AB23" t="str">
        <v/>
      </c>
      <c r="AC23" t="str">
        <v>Proyecto de Satelite de Seguros en Discovery, se aterrizará el diseño de arquitectura detallada, definiran fechas de implementación. interconexion lo entrega en el Q4</v>
      </c>
    </row>
    <row r="24">
      <c r="A24" t="str">
        <v>HIST-0023</v>
      </c>
      <c r="B24" t="str">
        <v>D0015</v>
      </c>
      <c r="C24" t="str">
        <v>Satelite de Seguros</v>
      </c>
      <c r="D24" t="str">
        <v/>
      </c>
      <c r="E24" t="str">
        <v>Modificación</v>
      </c>
      <c r="F24" t="str">
        <v/>
      </c>
      <c r="G24" t="str">
        <v>Cesar Kroll</v>
      </c>
      <c r="H24" t="str">
        <v>Sin TTL</v>
      </c>
      <c r="I24" t="str">
        <v>Estefany Pimentel</v>
      </c>
      <c r="J24" t="str">
        <v>Walter Rosado</v>
      </c>
      <c r="K24" t="str">
        <v>Christian Tineo</v>
      </c>
      <c r="L24" t="str">
        <v>Todos los canales que venden creditos</v>
      </c>
      <c r="M24" t="str">
        <v>2026-07-08</v>
      </c>
      <c r="N24" t="str">
        <v/>
      </c>
      <c r="O24" t="str">
        <v/>
      </c>
      <c r="P24" t="str">
        <v/>
      </c>
      <c r="Q24" t="str">
        <v>TBD</v>
      </c>
      <c r="R24" t="str">
        <f>IF(Q24="","","Q"&amp;ROUNDUP(MONTH(Q24)/3,0)&amp;"-"&amp;YEAR(Q24))</f>
        <v/>
      </c>
      <c r="S24" t="str">
        <v>Identificado</v>
      </c>
      <c r="T24" t="str">
        <v/>
      </c>
      <c r="U24" t="str">
        <v/>
      </c>
      <c r="V24" t="str">
        <v/>
      </c>
      <c r="W24" t="str">
        <v>Media</v>
      </c>
      <c r="X24" t="str">
        <v/>
      </c>
      <c r="Y24" t="str">
        <v/>
      </c>
      <c r="Z24" t="str">
        <v/>
      </c>
      <c r="AA24" t="str">
        <v/>
      </c>
      <c r="AB24" t="str">
        <v/>
      </c>
      <c r="AC24" t="str">
        <v>Proyecto de Satelite de Seguros en Discovery, se aterrizará el diseño de arquitectura detallada, definiran fechas de implementación. Neobanco lo paso en Q2, el Satelite Seguros lo modificará</v>
      </c>
    </row>
    <row r="25">
      <c r="A25" t="str">
        <v>HIST-0024</v>
      </c>
      <c r="B25" t="str">
        <v>D0016</v>
      </c>
      <c r="C25" t="str">
        <v>Satelite de Seguros</v>
      </c>
      <c r="D25" t="str">
        <v/>
      </c>
      <c r="E25" t="str">
        <v>Modificación</v>
      </c>
      <c r="F25" t="str">
        <v/>
      </c>
      <c r="G25" t="str">
        <v>Cesar Kroll</v>
      </c>
      <c r="H25" t="str">
        <v>Sin TTL</v>
      </c>
      <c r="I25" t="str">
        <v>Estefany Pimentel</v>
      </c>
      <c r="J25" t="str">
        <v>Walter Rosado</v>
      </c>
      <c r="K25" t="str">
        <v>Christian Tineo</v>
      </c>
      <c r="L25" t="str">
        <v>Todos los canales que venden creditos</v>
      </c>
      <c r="M25" t="str">
        <v>2026-07-08</v>
      </c>
      <c r="N25" t="str">
        <v/>
      </c>
      <c r="O25" t="str">
        <v/>
      </c>
      <c r="P25" t="str">
        <v/>
      </c>
      <c r="Q25" t="str">
        <v>TBD</v>
      </c>
      <c r="R25" t="str">
        <f>IF(Q25="","","Q"&amp;ROUNDUP(MONTH(Q25)/3,0)&amp;"-"&amp;YEAR(Q25))</f>
        <v/>
      </c>
      <c r="S25" t="str">
        <v>Identificado</v>
      </c>
      <c r="T25" t="str">
        <v/>
      </c>
      <c r="U25" t="str">
        <v/>
      </c>
      <c r="V25" t="str">
        <v/>
      </c>
      <c r="W25" t="str">
        <v>Media</v>
      </c>
      <c r="X25" t="str">
        <v/>
      </c>
      <c r="Y25" t="str">
        <v/>
      </c>
      <c r="Z25" t="str">
        <v/>
      </c>
      <c r="AA25" t="str">
        <v/>
      </c>
      <c r="AB25" t="str">
        <v/>
      </c>
      <c r="AC25" t="str">
        <v>Proyecto de Satelite de Seguros en Discovery, se aterrizará el diseño de arquitectura detallada, definiran fechas de implementación. interconexion lo entrega en el Q4</v>
      </c>
    </row>
    <row r="26">
      <c r="A26" t="str">
        <v>HIST-0025</v>
      </c>
      <c r="B26" t="str">
        <v>D0017</v>
      </c>
      <c r="C26" t="str">
        <v>Satelite de Seguros</v>
      </c>
      <c r="D26" t="str">
        <v/>
      </c>
      <c r="E26" t="str">
        <v>Modificación</v>
      </c>
      <c r="F26" t="str">
        <v/>
      </c>
      <c r="G26" t="str">
        <v>Cesar Kroll</v>
      </c>
      <c r="H26" t="str">
        <v>Sin TTL</v>
      </c>
      <c r="I26" t="str">
        <v>Estefany Pimentel</v>
      </c>
      <c r="J26" t="str">
        <v>Walter Rosado</v>
      </c>
      <c r="K26" t="str">
        <v>Christian Tineo</v>
      </c>
      <c r="L26" t="str">
        <v>Todos los canales que venden creditos</v>
      </c>
      <c r="M26" t="str">
        <v>2026-07-08</v>
      </c>
      <c r="N26" t="str">
        <v/>
      </c>
      <c r="O26" t="str">
        <v/>
      </c>
      <c r="P26" t="str">
        <v/>
      </c>
      <c r="Q26" t="str">
        <v>TBD</v>
      </c>
      <c r="R26" t="str">
        <f>IF(Q26="","","Q"&amp;ROUNDUP(MONTH(Q26)/3,0)&amp;"-"&amp;YEAR(Q26))</f>
        <v/>
      </c>
      <c r="S26" t="str">
        <v>Identificado</v>
      </c>
      <c r="T26" t="str">
        <v/>
      </c>
      <c r="U26" t="str">
        <v/>
      </c>
      <c r="V26" t="str">
        <v/>
      </c>
      <c r="W26" t="str">
        <v>Media</v>
      </c>
      <c r="X26" t="str">
        <v/>
      </c>
      <c r="Y26" t="str">
        <v/>
      </c>
      <c r="Z26" t="str">
        <v/>
      </c>
      <c r="AA26" t="str">
        <v/>
      </c>
      <c r="AB26" t="str">
        <v/>
      </c>
      <c r="AC26" t="str">
        <v>Proyecto de Satelite de Seguros en Discovery, se aterrizará el diseño de arquitectura detallada, definiran fechas de implementación. Neobanco lo paso en Q1, BCRP lo tiene para el Q4, Interconexion lo tiene para el Q4</v>
      </c>
    </row>
    <row r="27">
      <c r="A27" t="str">
        <v>HIST-0026</v>
      </c>
      <c r="B27" t="str">
        <v>D0018</v>
      </c>
      <c r="C27" t="str">
        <v>Satelite de Seguros</v>
      </c>
      <c r="D27" t="str">
        <v/>
      </c>
      <c r="E27" t="str">
        <v>Creación</v>
      </c>
      <c r="F27" t="str">
        <v/>
      </c>
      <c r="G27" t="str">
        <v>Cesar Kroll</v>
      </c>
      <c r="H27" t="str">
        <v>Sin TTL</v>
      </c>
      <c r="I27" t="str">
        <v>Estefany Pimentel</v>
      </c>
      <c r="J27" t="str">
        <v>Walter Rosado</v>
      </c>
      <c r="K27" t="str">
        <v>Christian Tineo</v>
      </c>
      <c r="L27" t="str">
        <v>Todos los canales que venden creditos</v>
      </c>
      <c r="M27" t="str">
        <v>2026-07-08</v>
      </c>
      <c r="N27" t="str">
        <v/>
      </c>
      <c r="O27" t="str">
        <v/>
      </c>
      <c r="P27" t="str">
        <v/>
      </c>
      <c r="Q27" t="str">
        <v>TBD</v>
      </c>
      <c r="R27" t="str">
        <f>IF(Q27="","","Q"&amp;ROUNDUP(MONTH(Q27)/3,0)&amp;"-"&amp;YEAR(Q27))</f>
        <v/>
      </c>
      <c r="S27" t="str">
        <v>Identificado</v>
      </c>
      <c r="T27" t="str">
        <v/>
      </c>
      <c r="U27" t="str">
        <v/>
      </c>
      <c r="V27" t="str">
        <v/>
      </c>
      <c r="W27" t="str">
        <v>Media</v>
      </c>
      <c r="X27" t="str">
        <v/>
      </c>
      <c r="Y27" t="str">
        <v/>
      </c>
      <c r="Z27" t="str">
        <v/>
      </c>
      <c r="AA27" t="str">
        <v/>
      </c>
      <c r="AB27" t="str">
        <v/>
      </c>
      <c r="AC27" t="str">
        <v>Proyecto de Satelite de Seguros en Discovery, se aterrizará el diseño de arquitectura detallada, definiran fechas de implementación. Creación</v>
      </c>
    </row>
    <row r="28">
      <c r="A28" t="str">
        <v>HIST-0027</v>
      </c>
      <c r="B28" t="str">
        <v>D0009</v>
      </c>
      <c r="C28" t="str">
        <v>Neobanco</v>
      </c>
      <c r="D28" t="str">
        <v/>
      </c>
      <c r="E28" t="str">
        <v>Modificación</v>
      </c>
      <c r="F28" t="str">
        <v/>
      </c>
      <c r="G28" t="str">
        <v>Ricardo Garmendia</v>
      </c>
      <c r="H28" t="str">
        <v>Jose Seminario</v>
      </c>
      <c r="I28" t="str">
        <v>Alex Guerrero</v>
      </c>
      <c r="J28" t="str">
        <v>Cesar Lama</v>
      </c>
      <c r="K28" t="str">
        <v>Jaime Henriquez</v>
      </c>
      <c r="L28" t="str">
        <v>Neobanco</v>
      </c>
      <c r="M28" t="str">
        <v>2026-06-05</v>
      </c>
      <c r="N28" t="str">
        <v/>
      </c>
      <c r="O28" t="str">
        <v/>
      </c>
      <c r="P28" t="str">
        <v/>
      </c>
      <c r="Q28" t="str">
        <v>2026-03-31</v>
      </c>
      <c r="R28" t="str">
        <f>IF(Q28="","","Q"&amp;ROUNDUP(MONTH(Q28)/3,0)&amp;"-"&amp;YEAR(Q28))</f>
        <v>Q1-2026</v>
      </c>
      <c r="S28" t="str">
        <v>Producción</v>
      </c>
      <c r="T28" t="str">
        <v/>
      </c>
      <c r="U28" t="str">
        <v/>
      </c>
      <c r="V28" t="str">
        <v/>
      </c>
      <c r="W28" t="str">
        <v>Media</v>
      </c>
      <c r="X28" t="str">
        <v/>
      </c>
      <c r="Y28" t="str">
        <v/>
      </c>
      <c r="Z28" t="str">
        <v>2026-07-21</v>
      </c>
      <c r="AA28" t="str">
        <v/>
      </c>
      <c r="AB28" t="str">
        <v/>
      </c>
      <c r="AC28" t="str">
        <v>Pasó a produccion en Q1</v>
      </c>
    </row>
    <row r="29">
      <c r="A29" t="str">
        <v>HIST-0028</v>
      </c>
      <c r="B29" t="str">
        <v>D0019</v>
      </c>
      <c r="C29" t="str">
        <v>Neobanco</v>
      </c>
      <c r="D29" t="str">
        <v/>
      </c>
      <c r="E29" t="str">
        <v>Modificación</v>
      </c>
      <c r="F29" t="str">
        <v/>
      </c>
      <c r="G29" t="str">
        <v>Ricardo Garmendia</v>
      </c>
      <c r="H29" t="str">
        <v>Jose Seminario</v>
      </c>
      <c r="I29" t="str">
        <v>Alex Guerrero</v>
      </c>
      <c r="J29" t="str">
        <v>Cesar Lama</v>
      </c>
      <c r="K29" t="str">
        <v>Jaime Henriquez</v>
      </c>
      <c r="L29" t="str">
        <v>Neobanco</v>
      </c>
      <c r="M29" t="str">
        <v>2026-06-05</v>
      </c>
      <c r="N29" t="str">
        <v/>
      </c>
      <c r="O29" t="str">
        <v/>
      </c>
      <c r="P29" t="str">
        <v/>
      </c>
      <c r="Q29" t="str">
        <v>2026-03-31</v>
      </c>
      <c r="R29" t="str">
        <f>IF(Q29="","","Q"&amp;ROUNDUP(MONTH(Q29)/3,0)&amp;"-"&amp;YEAR(Q29))</f>
        <v>Q1-2026</v>
      </c>
      <c r="S29" t="str">
        <v>Producción</v>
      </c>
      <c r="T29" t="str">
        <v/>
      </c>
      <c r="U29" t="str">
        <v/>
      </c>
      <c r="V29" t="str">
        <v/>
      </c>
      <c r="W29" t="str">
        <v>Media</v>
      </c>
      <c r="X29" t="str">
        <v/>
      </c>
      <c r="Y29" t="str">
        <v/>
      </c>
      <c r="Z29" t="str">
        <v/>
      </c>
      <c r="AA29" t="str">
        <v/>
      </c>
      <c r="AB29" t="str">
        <v/>
      </c>
      <c r="AC29" t="str">
        <v>Pasó a produccion en Q1</v>
      </c>
    </row>
    <row r="30">
      <c r="A30" t="str">
        <v>HIST-0029</v>
      </c>
      <c r="B30" t="str">
        <v>D0006</v>
      </c>
      <c r="C30" t="str">
        <v>Neobanco</v>
      </c>
      <c r="D30" t="str">
        <v/>
      </c>
      <c r="E30" t="str">
        <v>Modificación</v>
      </c>
      <c r="F30" t="str">
        <v/>
      </c>
      <c r="G30" t="str">
        <v>Ricardo Garmendia</v>
      </c>
      <c r="H30" t="str">
        <v>Jose Seminario</v>
      </c>
      <c r="I30" t="str">
        <v>Alex Guerrero</v>
      </c>
      <c r="J30" t="str">
        <v>Cesar Lama</v>
      </c>
      <c r="K30" t="str">
        <v>Jaime Henriquez</v>
      </c>
      <c r="L30" t="str">
        <v>Neobanco</v>
      </c>
      <c r="M30" t="str">
        <v>2026-06-05</v>
      </c>
      <c r="N30" t="str">
        <v/>
      </c>
      <c r="O30" t="str">
        <v/>
      </c>
      <c r="P30" t="str">
        <v/>
      </c>
      <c r="Q30" t="str">
        <v>2026-03-31</v>
      </c>
      <c r="R30" t="str">
        <f>IF(Q30="","","Q"&amp;ROUNDUP(MONTH(Q30)/3,0)&amp;"-"&amp;YEAR(Q30))</f>
        <v>Q1-2026</v>
      </c>
      <c r="S30" t="str">
        <v>Producción</v>
      </c>
      <c r="T30" t="str">
        <v/>
      </c>
      <c r="U30" t="str">
        <v/>
      </c>
      <c r="V30" t="str">
        <v/>
      </c>
      <c r="W30" t="str">
        <v>Media</v>
      </c>
      <c r="X30" t="str">
        <v/>
      </c>
      <c r="Y30" t="str">
        <v/>
      </c>
      <c r="Z30" t="str">
        <v/>
      </c>
      <c r="AA30" t="str">
        <v/>
      </c>
      <c r="AB30" t="str">
        <v/>
      </c>
      <c r="AC30" t="str">
        <v>Pasó a produccion en Q1</v>
      </c>
    </row>
    <row r="31">
      <c r="A31" t="str">
        <v>HIST-0030</v>
      </c>
      <c r="B31" t="str">
        <v>D0020</v>
      </c>
      <c r="C31" t="str">
        <v>Neobanco</v>
      </c>
      <c r="D31" t="str">
        <v/>
      </c>
      <c r="E31" t="str">
        <v>Creación</v>
      </c>
      <c r="F31" t="str">
        <v>OP-0015</v>
      </c>
      <c r="G31" t="str">
        <v>Ricardo Garmendia</v>
      </c>
      <c r="H31" t="str">
        <v>Jose Seminario</v>
      </c>
      <c r="I31" t="str">
        <v>Diana Martinez</v>
      </c>
      <c r="J31" t="str">
        <v>Diana Martinez</v>
      </c>
      <c r="K31" t="str">
        <v>Jaime Henriquez</v>
      </c>
      <c r="L31" t="str">
        <v>Neobanco</v>
      </c>
      <c r="M31" t="str">
        <v>2026-06-05</v>
      </c>
      <c r="N31" t="str">
        <v/>
      </c>
      <c r="O31" t="str">
        <v/>
      </c>
      <c r="P31" t="str">
        <v/>
      </c>
      <c r="Q31" t="str">
        <v>2026-04-30</v>
      </c>
      <c r="R31" t="str">
        <f>IF(Q31="","","Q"&amp;ROUNDUP(MONTH(Q31)/3,0)&amp;"-"&amp;YEAR(Q31))</f>
        <v>Q2-2026</v>
      </c>
      <c r="S31" t="str">
        <v>Producción</v>
      </c>
      <c r="T31" t="str">
        <v/>
      </c>
      <c r="U31" t="str">
        <v/>
      </c>
      <c r="V31" t="str">
        <v/>
      </c>
      <c r="W31" t="str">
        <v>Media</v>
      </c>
      <c r="X31" t="str">
        <v/>
      </c>
      <c r="Y31" t="str">
        <v/>
      </c>
      <c r="Z31" t="str">
        <v/>
      </c>
      <c r="AA31" t="str">
        <v/>
      </c>
      <c r="AB31" t="str">
        <v/>
      </c>
      <c r="AC31" t="str">
        <v>Pasó a produccion en Q2</v>
      </c>
    </row>
    <row r="32">
      <c r="A32" t="str">
        <v>HIST-0031</v>
      </c>
      <c r="B32" t="str">
        <v>D0021</v>
      </c>
      <c r="C32" t="str">
        <v>Neobanco</v>
      </c>
      <c r="D32" t="str">
        <v/>
      </c>
      <c r="E32" t="str">
        <v>Modificación</v>
      </c>
      <c r="F32" t="str">
        <v/>
      </c>
      <c r="G32" t="str">
        <v>Ricardo Garmendia</v>
      </c>
      <c r="H32" t="str">
        <v>Jose Seminario</v>
      </c>
      <c r="I32" t="str">
        <v>Diana Martinez</v>
      </c>
      <c r="J32" t="str">
        <v>Diana Martinez</v>
      </c>
      <c r="K32" t="str">
        <v>Jaime Henriquez</v>
      </c>
      <c r="L32" t="str">
        <v>Neobanco</v>
      </c>
      <c r="M32" t="str">
        <v>2026-06-05</v>
      </c>
      <c r="N32" t="str">
        <v/>
      </c>
      <c r="O32" t="str">
        <v/>
      </c>
      <c r="P32" t="str">
        <v/>
      </c>
      <c r="Q32" t="str">
        <v>2026-03-31</v>
      </c>
      <c r="R32" t="str">
        <f>IF(Q32="","","Q"&amp;ROUNDUP(MONTH(Q32)/3,0)&amp;"-"&amp;YEAR(Q32))</f>
        <v>Q1-2026</v>
      </c>
      <c r="S32" t="str">
        <v>Producción</v>
      </c>
      <c r="T32" t="str">
        <v/>
      </c>
      <c r="U32" t="str">
        <v/>
      </c>
      <c r="V32" t="str">
        <v/>
      </c>
      <c r="W32" t="str">
        <v>Media</v>
      </c>
      <c r="X32" t="str">
        <v/>
      </c>
      <c r="Y32" t="str">
        <v/>
      </c>
      <c r="Z32" t="str">
        <v/>
      </c>
      <c r="AA32" t="str">
        <v/>
      </c>
      <c r="AB32" t="str">
        <v/>
      </c>
      <c r="AC32" t="str">
        <v>Pasó a produccion en Q1</v>
      </c>
    </row>
    <row r="33">
      <c r="A33" t="str">
        <v>HIST-0032</v>
      </c>
      <c r="B33" t="str">
        <v>D0022</v>
      </c>
      <c r="C33" t="str">
        <v>PPM - BCRP</v>
      </c>
      <c r="D33" t="str">
        <v/>
      </c>
      <c r="E33" t="str">
        <v>Creación</v>
      </c>
      <c r="F33" t="str">
        <v>OP-0016</v>
      </c>
      <c r="G33" t="str">
        <v>Vanessa Carranza</v>
      </c>
      <c r="H33" t="str">
        <v>Gianny Alfaro</v>
      </c>
      <c r="I33" t="str">
        <v>Sonia Montero</v>
      </c>
      <c r="J33" t="str">
        <v>Sandro Espinoza, Patrick Rodriguez</v>
      </c>
      <c r="K33" t="str">
        <v>Jaime Henriquez</v>
      </c>
      <c r="L33" t="str">
        <v>TAPP-BCRP</v>
      </c>
      <c r="M33" t="str">
        <v>2026-07-08</v>
      </c>
      <c r="N33" t="str">
        <v/>
      </c>
      <c r="O33" t="str">
        <v/>
      </c>
      <c r="P33" t="str">
        <v/>
      </c>
      <c r="Q33" t="str">
        <v>2026-09-30</v>
      </c>
      <c r="R33" t="str">
        <f>IF(Q33="","","Q"&amp;ROUNDUP(MONTH(Q33)/3,0)&amp;"-"&amp;YEAR(Q33))</f>
        <v>Q3-2026</v>
      </c>
      <c r="S33" t="str">
        <v>Desarrollo</v>
      </c>
      <c r="T33" t="str">
        <v/>
      </c>
      <c r="U33" t="str">
        <v/>
      </c>
      <c r="V33" t="str">
        <v/>
      </c>
      <c r="W33" t="str">
        <v>Baja</v>
      </c>
      <c r="X33" t="str">
        <v/>
      </c>
      <c r="Y33" t="str">
        <v/>
      </c>
      <c r="Z33" t="str">
        <v/>
      </c>
      <c r="AA33" t="str">
        <v/>
      </c>
      <c r="AB33" t="str">
        <v/>
      </c>
      <c r="AC33" t="str">
        <v>Se compromete para el Q3</v>
      </c>
    </row>
    <row r="34">
      <c r="A34" t="str">
        <v>HIST-0033</v>
      </c>
      <c r="B34" t="str">
        <v>D0007</v>
      </c>
      <c r="C34" t="str">
        <v>PPM - BCRP</v>
      </c>
      <c r="D34" t="str">
        <v/>
      </c>
      <c r="E34" t="str">
        <v>Modificación</v>
      </c>
      <c r="F34" t="str">
        <v>OP-0017, OP-0018</v>
      </c>
      <c r="G34" t="str">
        <v>Vanessa Carranza</v>
      </c>
      <c r="H34" t="str">
        <v>Gianny Alfaro</v>
      </c>
      <c r="I34" t="str">
        <v>Sonia Montero</v>
      </c>
      <c r="J34" t="str">
        <v>Sandro Espinoza, Patrick Rodriguez</v>
      </c>
      <c r="K34" t="str">
        <v>Jaime Henriquez</v>
      </c>
      <c r="L34" t="str">
        <v>TAPP-BCRP</v>
      </c>
      <c r="M34" t="str">
        <v>2026-07-08</v>
      </c>
      <c r="N34" t="str">
        <v/>
      </c>
      <c r="O34" t="str">
        <v/>
      </c>
      <c r="P34" t="str">
        <v/>
      </c>
      <c r="Q34" t="str">
        <v>2026-09-30</v>
      </c>
      <c r="R34" t="str">
        <f>IF(Q34="","","Q"&amp;ROUNDUP(MONTH(Q34)/3,0)&amp;"-"&amp;YEAR(Q34))</f>
        <v>Q3-2026</v>
      </c>
      <c r="S34" t="str">
        <v>Desarrollo</v>
      </c>
      <c r="T34" t="str">
        <v/>
      </c>
      <c r="U34" t="str">
        <v/>
      </c>
      <c r="V34" t="str">
        <v/>
      </c>
      <c r="W34" t="str">
        <v>Media</v>
      </c>
      <c r="X34" t="str">
        <v/>
      </c>
      <c r="Y34" t="str">
        <v/>
      </c>
      <c r="Z34" t="str">
        <v/>
      </c>
      <c r="AA34" t="str">
        <v/>
      </c>
      <c r="AB34" t="str">
        <v/>
      </c>
      <c r="AC34" t="str">
        <v>Se compromete para el Q3</v>
      </c>
    </row>
    <row r="35">
      <c r="A35" t="str">
        <v>HIST-0034</v>
      </c>
      <c r="B35" t="str">
        <v>D0003</v>
      </c>
      <c r="C35" t="str">
        <v>PPM - BCRP</v>
      </c>
      <c r="D35" t="str">
        <v/>
      </c>
      <c r="E35" t="str">
        <v>Modificación</v>
      </c>
      <c r="F35" t="str">
        <v>OP-0019</v>
      </c>
      <c r="G35" t="str">
        <v>Vanessa Carranza</v>
      </c>
      <c r="H35" t="str">
        <v>Gianny Alfaro</v>
      </c>
      <c r="I35" t="str">
        <v>Sonia Montero</v>
      </c>
      <c r="J35" t="str">
        <v>Sandro Espinoza, Patrick Rodriguez</v>
      </c>
      <c r="K35" t="str">
        <v>Jaime Henriquez</v>
      </c>
      <c r="L35" t="str">
        <v>TAPP-BCRP</v>
      </c>
      <c r="M35" t="str">
        <v>2026-07-08</v>
      </c>
      <c r="N35" t="str">
        <v/>
      </c>
      <c r="O35" t="str">
        <v/>
      </c>
      <c r="P35" t="str">
        <v/>
      </c>
      <c r="Q35" t="str">
        <v>2026-09-30</v>
      </c>
      <c r="R35" t="str">
        <f>IF(Q35="","","Q"&amp;ROUNDUP(MONTH(Q35)/3,0)&amp;"-"&amp;YEAR(Q35))</f>
        <v>Q3-2026</v>
      </c>
      <c r="S35" t="str">
        <v>Desarrollo</v>
      </c>
      <c r="T35" t="str">
        <v/>
      </c>
      <c r="U35" t="str">
        <v/>
      </c>
      <c r="V35" t="str">
        <v/>
      </c>
      <c r="W35" t="str">
        <v>Media</v>
      </c>
      <c r="X35" t="str">
        <v/>
      </c>
      <c r="Y35" t="str">
        <v/>
      </c>
      <c r="Z35" t="str">
        <v/>
      </c>
      <c r="AA35" t="str">
        <v/>
      </c>
      <c r="AB35" t="str">
        <v/>
      </c>
      <c r="AC35" t="str">
        <v>Se compromete para el Q3</v>
      </c>
    </row>
    <row r="36">
      <c r="A36" t="str">
        <v>HIST-0035</v>
      </c>
      <c r="B36" t="str">
        <v>D0023</v>
      </c>
      <c r="C36" t="str">
        <v>PPM - BCRP</v>
      </c>
      <c r="D36" t="str">
        <v/>
      </c>
      <c r="E36" t="str">
        <v>Creación</v>
      </c>
      <c r="F36" t="str">
        <v/>
      </c>
      <c r="G36" t="str">
        <v>Vanessa Carranza</v>
      </c>
      <c r="H36" t="str">
        <v>Gianny Alfaro</v>
      </c>
      <c r="I36" t="str">
        <v>Sonia Montero</v>
      </c>
      <c r="J36" t="str">
        <v>Sandro Espinoza, Patrick Rodriguez</v>
      </c>
      <c r="K36" t="str">
        <v>Jaime Henriquez</v>
      </c>
      <c r="L36" t="str">
        <v>TAPP-BCRP</v>
      </c>
      <c r="M36" t="str">
        <v>2026-07-08</v>
      </c>
      <c r="N36" t="str">
        <v/>
      </c>
      <c r="O36" t="str">
        <v/>
      </c>
      <c r="P36" t="str">
        <v/>
      </c>
      <c r="Q36" t="str">
        <v>TBD</v>
      </c>
      <c r="R36" t="str">
        <f>IF(Q36="","","Q"&amp;ROUNDUP(MONTH(Q36)/3,0)&amp;"-"&amp;YEAR(Q36))</f>
        <v/>
      </c>
      <c r="S36" t="str">
        <v>Diseño</v>
      </c>
      <c r="T36" t="str">
        <v/>
      </c>
      <c r="U36" t="str">
        <v/>
      </c>
      <c r="V36" t="str">
        <v/>
      </c>
      <c r="W36" t="str">
        <v>Media</v>
      </c>
      <c r="X36" t="str">
        <v/>
      </c>
      <c r="Y36" t="str">
        <v/>
      </c>
      <c r="Z36" t="str">
        <v/>
      </c>
      <c r="AA36" t="str">
        <v/>
      </c>
      <c r="AB36" t="str">
        <v/>
      </c>
      <c r="AC36" t="str">
        <v>sin fecha de compromiso</v>
      </c>
    </row>
    <row r="37">
      <c r="A37" t="str">
        <v>HIST-0036</v>
      </c>
      <c r="B37" t="str">
        <v>D0021</v>
      </c>
      <c r="C37" t="str">
        <v>PPM - BCRP</v>
      </c>
      <c r="D37" t="str">
        <v/>
      </c>
      <c r="E37" t="str">
        <v>Modificación</v>
      </c>
      <c r="F37" t="str">
        <v/>
      </c>
      <c r="G37" t="str">
        <v>Vanessa Carranza</v>
      </c>
      <c r="H37" t="str">
        <v>Gianny Alfaro</v>
      </c>
      <c r="I37" t="str">
        <v>Sonia Montero</v>
      </c>
      <c r="J37" t="str">
        <v>Sandro Espinoza, Patrick Rodriguez</v>
      </c>
      <c r="K37" t="str">
        <v>Jaime Henriquez</v>
      </c>
      <c r="L37" t="str">
        <v>TAPP-BCRP</v>
      </c>
      <c r="M37" t="str">
        <v>2026-07-08</v>
      </c>
      <c r="N37" t="str">
        <v/>
      </c>
      <c r="O37" t="str">
        <v/>
      </c>
      <c r="P37" t="str">
        <v/>
      </c>
      <c r="Q37" t="str">
        <v>TBD</v>
      </c>
      <c r="R37" t="str">
        <f>IF(Q37="","","Q"&amp;ROUNDUP(MONTH(Q37)/3,0)&amp;"-"&amp;YEAR(Q37))</f>
        <v/>
      </c>
      <c r="S37" t="str">
        <v>Diseño</v>
      </c>
      <c r="T37" t="str">
        <v/>
      </c>
      <c r="U37" t="str">
        <v/>
      </c>
      <c r="V37" t="str">
        <v/>
      </c>
      <c r="W37" t="str">
        <v>Media</v>
      </c>
      <c r="X37" t="str">
        <v/>
      </c>
      <c r="Y37" t="str">
        <v/>
      </c>
      <c r="Z37" t="str">
        <v/>
      </c>
      <c r="AA37" t="str">
        <v/>
      </c>
      <c r="AB37" t="str">
        <v/>
      </c>
      <c r="AC37" t="str">
        <v>sin fecha de compromiso</v>
      </c>
    </row>
    <row r="38">
      <c r="A38" t="str">
        <v>HIST-0037</v>
      </c>
      <c r="B38" t="str">
        <v>D0024</v>
      </c>
      <c r="C38" t="str">
        <v>PPM - BCRP</v>
      </c>
      <c r="D38" t="str">
        <v/>
      </c>
      <c r="E38" t="str">
        <v>Modificación</v>
      </c>
      <c r="F38" t="str">
        <v>OP-0020, OP-0021, OP-0022, OP-0023, OP-0024</v>
      </c>
      <c r="G38" t="str">
        <v>Vanessa Carranza</v>
      </c>
      <c r="H38" t="str">
        <v>Gianny Alfaro</v>
      </c>
      <c r="I38" t="str">
        <v>Sonia Montero</v>
      </c>
      <c r="J38" t="str">
        <v>Sandro Espinoza, Patrick Rodriguez</v>
      </c>
      <c r="K38" t="str">
        <v>Jaime Henriquez</v>
      </c>
      <c r="L38" t="str">
        <v>TAPP-BCRP</v>
      </c>
      <c r="M38" t="str">
        <v>2026-07-08</v>
      </c>
      <c r="N38" t="str">
        <v/>
      </c>
      <c r="O38" t="str">
        <v/>
      </c>
      <c r="P38" t="str">
        <v/>
      </c>
      <c r="Q38" t="str">
        <v>2026-09-30</v>
      </c>
      <c r="R38" t="str">
        <f>IF(Q38="","","Q"&amp;ROUNDUP(MONTH(Q38)/3,0)&amp;"-"&amp;YEAR(Q38))</f>
        <v>Q3-2026</v>
      </c>
      <c r="S38" t="str">
        <v>Desarrollo</v>
      </c>
      <c r="T38" t="str">
        <v/>
      </c>
      <c r="U38" t="str">
        <v/>
      </c>
      <c r="V38" t="str">
        <v/>
      </c>
      <c r="W38" t="str">
        <v>Alta</v>
      </c>
      <c r="X38" t="str">
        <v/>
      </c>
      <c r="Y38" t="str">
        <v/>
      </c>
      <c r="Z38" t="str">
        <v/>
      </c>
      <c r="AA38" t="str">
        <v/>
      </c>
      <c r="AB38" t="str">
        <v/>
      </c>
      <c r="AC38" t="str">
        <v>Se compromete para el Q3</v>
      </c>
    </row>
    <row r="39">
      <c r="A39" t="str">
        <v>HIST-0038</v>
      </c>
      <c r="B39" t="str">
        <v>D0025</v>
      </c>
      <c r="C39" t="str">
        <v>PPM - BCRP</v>
      </c>
      <c r="D39" t="str">
        <v/>
      </c>
      <c r="E39" t="str">
        <v>Creación</v>
      </c>
      <c r="F39" t="str">
        <v>OP-0025, OP-0026, OP-0027</v>
      </c>
      <c r="G39" t="str">
        <v>Vanessa Carranza</v>
      </c>
      <c r="H39" t="str">
        <v>Gianny Alfaro</v>
      </c>
      <c r="I39" t="str">
        <v>Sonia Montero</v>
      </c>
      <c r="J39" t="str">
        <v>Sandro Espinoza, Patrick Rodriguez</v>
      </c>
      <c r="K39" t="str">
        <v>Jaime Henriquez</v>
      </c>
      <c r="L39" t="str">
        <v>TAPP-BCRP</v>
      </c>
      <c r="M39" t="str">
        <v>2026-07-08</v>
      </c>
      <c r="N39" t="str">
        <v/>
      </c>
      <c r="O39" t="str">
        <v/>
      </c>
      <c r="P39" t="str">
        <v/>
      </c>
      <c r="Q39" t="str">
        <v>2026-09-30</v>
      </c>
      <c r="R39" t="str">
        <f>IF(Q39="","","Q"&amp;ROUNDUP(MONTH(Q39)/3,0)&amp;"-"&amp;YEAR(Q39))</f>
        <v>Q3-2026</v>
      </c>
      <c r="S39" t="str">
        <v>Desarrollo</v>
      </c>
      <c r="T39" t="str">
        <v/>
      </c>
      <c r="U39" t="str">
        <v/>
      </c>
      <c r="V39" t="str">
        <v/>
      </c>
      <c r="W39" t="str">
        <v>Media</v>
      </c>
      <c r="X39" t="str">
        <v/>
      </c>
      <c r="Y39" t="str">
        <v/>
      </c>
      <c r="Z39" t="str">
        <v/>
      </c>
      <c r="AA39" t="str">
        <v/>
      </c>
      <c r="AB39" t="str">
        <v/>
      </c>
      <c r="AC39" t="str">
        <v>Se compromete para el Q3</v>
      </c>
    </row>
    <row r="40">
      <c r="A40" t="str">
        <v>HIST-0039</v>
      </c>
      <c r="B40" t="str">
        <v>D0026</v>
      </c>
      <c r="C40" t="str">
        <v>PPM - BCRP</v>
      </c>
      <c r="D40" t="str">
        <v/>
      </c>
      <c r="E40" t="str">
        <v>Creación</v>
      </c>
      <c r="F40" t="str">
        <v>OP-0028, OP-0029</v>
      </c>
      <c r="G40" t="str">
        <v>Vanessa Carranza</v>
      </c>
      <c r="H40" t="str">
        <v>Gianny Alfaro</v>
      </c>
      <c r="I40" t="str">
        <v>Sonia Montero</v>
      </c>
      <c r="J40" t="str">
        <v>Sandro Espinoza, Patrick Rodriguez</v>
      </c>
      <c r="K40" t="str">
        <v>Jaime Henriquez</v>
      </c>
      <c r="L40" t="str">
        <v>TAPP-BCRP</v>
      </c>
      <c r="M40" t="str">
        <v>2026-07-08</v>
      </c>
      <c r="N40" t="str">
        <v/>
      </c>
      <c r="O40" t="str">
        <v/>
      </c>
      <c r="P40" t="str">
        <v/>
      </c>
      <c r="Q40" t="str">
        <v>2026-09-30</v>
      </c>
      <c r="R40" t="str">
        <f>IF(Q40="","","Q"&amp;ROUNDUP(MONTH(Q40)/3,0)&amp;"-"&amp;YEAR(Q40))</f>
        <v>Q3-2026</v>
      </c>
      <c r="S40" t="str">
        <v>Desarrollo</v>
      </c>
      <c r="T40" t="str">
        <v/>
      </c>
      <c r="U40" t="str">
        <v/>
      </c>
      <c r="V40" t="str">
        <v/>
      </c>
      <c r="W40" t="str">
        <v>Media</v>
      </c>
      <c r="X40" t="str">
        <v/>
      </c>
      <c r="Y40" t="str">
        <v/>
      </c>
      <c r="Z40" t="str">
        <v/>
      </c>
      <c r="AA40" t="str">
        <v/>
      </c>
      <c r="AB40" t="str">
        <v/>
      </c>
      <c r="AC40" t="str">
        <v>Se compromete para el Q3</v>
      </c>
    </row>
    <row r="41">
      <c r="A41" t="str">
        <v>HIST-0040</v>
      </c>
      <c r="B41" t="str">
        <v>D0027</v>
      </c>
      <c r="C41" t="str">
        <v>PPM - BCRP</v>
      </c>
      <c r="D41" t="str">
        <v/>
      </c>
      <c r="E41" t="str">
        <v>Creación</v>
      </c>
      <c r="F41" t="str">
        <v>OP-0030</v>
      </c>
      <c r="G41" t="str">
        <v>Vanessa Carranza</v>
      </c>
      <c r="H41" t="str">
        <v>Gianny Alfaro</v>
      </c>
      <c r="I41" t="str">
        <v>Sonia Montero</v>
      </c>
      <c r="J41" t="str">
        <v>Sandro Espinoza, Patrick Rodriguez</v>
      </c>
      <c r="K41" t="str">
        <v>Jaime Henriquez</v>
      </c>
      <c r="L41" t="str">
        <v>TAPP-BCRP</v>
      </c>
      <c r="M41" t="str">
        <v>2026-07-08</v>
      </c>
      <c r="N41" t="str">
        <v/>
      </c>
      <c r="O41" t="str">
        <v/>
      </c>
      <c r="P41" t="str">
        <v/>
      </c>
      <c r="Q41" t="str">
        <v>2026-09-30</v>
      </c>
      <c r="R41" t="str">
        <f>IF(Q41="","","Q"&amp;ROUNDUP(MONTH(Q41)/3,0)&amp;"-"&amp;YEAR(Q41))</f>
        <v>Q3-2026</v>
      </c>
      <c r="S41" t="str">
        <v>Desarrollo</v>
      </c>
      <c r="T41" t="str">
        <v/>
      </c>
      <c r="U41" t="str">
        <v/>
      </c>
      <c r="V41" t="str">
        <v/>
      </c>
      <c r="W41" t="str">
        <v>Media</v>
      </c>
      <c r="X41" t="str">
        <v/>
      </c>
      <c r="Y41" t="str">
        <v/>
      </c>
      <c r="Z41" t="str">
        <v/>
      </c>
      <c r="AA41" t="str">
        <v/>
      </c>
      <c r="AB41" t="str">
        <v/>
      </c>
      <c r="AC41" t="str">
        <v>BCRP se compromete para el Q3</v>
      </c>
    </row>
    <row r="42">
      <c r="A42" t="str">
        <v>HIST-0041</v>
      </c>
      <c r="B42" t="str">
        <v>D0028</v>
      </c>
      <c r="C42" t="str">
        <v>PPM - BCRP</v>
      </c>
      <c r="D42" t="str">
        <v/>
      </c>
      <c r="E42" t="str">
        <v>Modificación</v>
      </c>
      <c r="F42" t="str">
        <v/>
      </c>
      <c r="G42" t="str">
        <v>Vanessa Carranza</v>
      </c>
      <c r="H42" t="str">
        <v>Gianny Alfaro</v>
      </c>
      <c r="I42" t="str">
        <v>Sonia Montero</v>
      </c>
      <c r="J42" t="str">
        <v>Sandro Espinoza, Patrick Rodriguez</v>
      </c>
      <c r="K42" t="str">
        <v>Jaime Henriquez</v>
      </c>
      <c r="L42" t="str">
        <v>TAPP-BCRP</v>
      </c>
      <c r="M42" t="str">
        <v>2026-07-08</v>
      </c>
      <c r="N42" t="str">
        <v/>
      </c>
      <c r="O42" t="str">
        <v/>
      </c>
      <c r="P42" t="str">
        <v/>
      </c>
      <c r="Q42" t="str">
        <v>2026-12-31</v>
      </c>
      <c r="R42" t="str">
        <f>IF(Q42="","","Q"&amp;ROUNDUP(MONTH(Q42)/3,0)&amp;"-"&amp;YEAR(Q42))</f>
        <v>Q4-2026</v>
      </c>
      <c r="S42" t="str">
        <v>Producción</v>
      </c>
      <c r="T42" t="str">
        <v/>
      </c>
      <c r="U42" t="str">
        <v/>
      </c>
      <c r="V42" t="str">
        <v/>
      </c>
      <c r="W42" t="str">
        <v>Media</v>
      </c>
      <c r="X42" t="str">
        <v/>
      </c>
      <c r="Y42" t="str">
        <v/>
      </c>
      <c r="Z42" t="str">
        <v/>
      </c>
      <c r="AA42" t="str">
        <v/>
      </c>
      <c r="AB42" t="str">
        <v/>
      </c>
      <c r="AC42" t="str">
        <v>Ya lo pasó Neobanco, la modificacion se compromete para el Q4</v>
      </c>
    </row>
    <row r="43">
      <c r="A43" t="str">
        <v>HIST-0042</v>
      </c>
      <c r="B43" t="str">
        <v>D0017</v>
      </c>
      <c r="C43" t="str">
        <v>PPM - BCRP</v>
      </c>
      <c r="D43" t="str">
        <v/>
      </c>
      <c r="E43" t="str">
        <v>Modificación</v>
      </c>
      <c r="F43" t="str">
        <v/>
      </c>
      <c r="G43" t="str">
        <v>Vanessa Carranza</v>
      </c>
      <c r="H43" t="str">
        <v>Gianny Alfaro</v>
      </c>
      <c r="I43" t="str">
        <v>Sonia Montero</v>
      </c>
      <c r="J43" t="str">
        <v>Sandro Espinoza, Patrick Rodriguez</v>
      </c>
      <c r="K43" t="str">
        <v>Jaime Henriquez</v>
      </c>
      <c r="L43" t="str">
        <v>TAPP-BCRP</v>
      </c>
      <c r="M43" t="str">
        <v>2026-07-08</v>
      </c>
      <c r="N43" t="str">
        <v/>
      </c>
      <c r="O43" t="str">
        <v/>
      </c>
      <c r="P43" t="str">
        <v/>
      </c>
      <c r="Q43" t="str">
        <v>2026-12-31</v>
      </c>
      <c r="R43" t="str">
        <f>IF(Q43="","","Q"&amp;ROUNDUP(MONTH(Q43)/3,0)&amp;"-"&amp;YEAR(Q43))</f>
        <v>Q4-2026</v>
      </c>
      <c r="S43" t="str">
        <v>Producción</v>
      </c>
      <c r="T43" t="str">
        <v/>
      </c>
      <c r="U43" t="str">
        <v/>
      </c>
      <c r="V43" t="str">
        <v/>
      </c>
      <c r="W43" t="str">
        <v>Media</v>
      </c>
      <c r="X43" t="str">
        <v/>
      </c>
      <c r="Y43" t="str">
        <v/>
      </c>
      <c r="Z43" t="str">
        <v/>
      </c>
      <c r="AA43" t="str">
        <v/>
      </c>
      <c r="AB43" t="str">
        <v/>
      </c>
      <c r="AC43" t="str">
        <v>Ya lo pasó Neobanco, la modificacion se compromete para el Q4</v>
      </c>
    </row>
    <row r="44">
      <c r="A44" t="str">
        <v>HIST-0043</v>
      </c>
      <c r="B44" t="str">
        <v>D0029</v>
      </c>
      <c r="C44" t="str">
        <v>PPM - BCRP</v>
      </c>
      <c r="D44" t="str">
        <v/>
      </c>
      <c r="E44" t="str">
        <v>Modificación</v>
      </c>
      <c r="F44" t="str">
        <v/>
      </c>
      <c r="G44" t="str">
        <v>Vanessa Carranza</v>
      </c>
      <c r="H44" t="str">
        <v>Gianny Alfaro</v>
      </c>
      <c r="I44" t="str">
        <v>Sonia Montero</v>
      </c>
      <c r="J44" t="str">
        <v>Sandro Espinoza, Patrick Rodriguez</v>
      </c>
      <c r="K44" t="str">
        <v>Jaime Henriquez</v>
      </c>
      <c r="L44" t="str">
        <v>TAPP-BCRP</v>
      </c>
      <c r="M44" t="str">
        <v>2026-07-08</v>
      </c>
      <c r="N44" t="str">
        <v/>
      </c>
      <c r="O44" t="str">
        <v/>
      </c>
      <c r="P44" t="str">
        <v/>
      </c>
      <c r="Q44" t="str">
        <v>2026-12-31</v>
      </c>
      <c r="R44" t="str">
        <f>IF(Q44="","","Q"&amp;ROUNDUP(MONTH(Q44)/3,0)&amp;"-"&amp;YEAR(Q44))</f>
        <v>Q4-2026</v>
      </c>
      <c r="S44" t="str">
        <v>Producción</v>
      </c>
      <c r="T44" t="str">
        <v/>
      </c>
      <c r="U44" t="str">
        <v/>
      </c>
      <c r="V44" t="str">
        <v/>
      </c>
      <c r="W44" t="str">
        <v>Media</v>
      </c>
      <c r="X44" t="str">
        <v/>
      </c>
      <c r="Y44" t="str">
        <v/>
      </c>
      <c r="Z44" t="str">
        <v/>
      </c>
      <c r="AA44" t="str">
        <v/>
      </c>
      <c r="AB44" t="str">
        <v/>
      </c>
      <c r="AC44" t="str">
        <v>Ya lo pasó Neobanco, la modificacion se compromete para el Q4</v>
      </c>
    </row>
    <row r="45">
      <c r="A45" t="str">
        <v>HIST-0044</v>
      </c>
      <c r="B45" t="str">
        <v>D0030</v>
      </c>
      <c r="C45" t="str">
        <v>PPM - BCRP</v>
      </c>
      <c r="D45" t="str">
        <v/>
      </c>
      <c r="E45" t="str">
        <v>Creación</v>
      </c>
      <c r="F45" t="str">
        <v/>
      </c>
      <c r="G45" t="str">
        <v>Vanessa Carranza</v>
      </c>
      <c r="H45" t="str">
        <v>Gianny Alfaro</v>
      </c>
      <c r="I45" t="str">
        <v>Sonia Montero</v>
      </c>
      <c r="J45" t="str">
        <v>Sandro Espinoza, Patrick Rodriguez</v>
      </c>
      <c r="K45" t="str">
        <v>Jaime Henriquez</v>
      </c>
      <c r="L45" t="str">
        <v>TAPP-BCRP</v>
      </c>
      <c r="M45" t="str">
        <v>2026-07-08</v>
      </c>
      <c r="N45" t="str">
        <v/>
      </c>
      <c r="O45" t="str">
        <v/>
      </c>
      <c r="P45" t="str">
        <v/>
      </c>
      <c r="Q45" t="str">
        <v>2026-12-31</v>
      </c>
      <c r="R45" t="str">
        <f>IF(Q45="","","Q"&amp;ROUNDUP(MONTH(Q45)/3,0)&amp;"-"&amp;YEAR(Q45))</f>
        <v>Q4-2026</v>
      </c>
      <c r="S45" t="str">
        <v>Diseño</v>
      </c>
      <c r="T45" t="str">
        <v/>
      </c>
      <c r="U45" t="str">
        <v/>
      </c>
      <c r="V45" t="str">
        <v/>
      </c>
      <c r="W45" t="str">
        <v>Media</v>
      </c>
      <c r="X45" t="str">
        <v/>
      </c>
      <c r="Y45" t="str">
        <v/>
      </c>
      <c r="Z45" t="str">
        <v/>
      </c>
      <c r="AA45" t="str">
        <v/>
      </c>
      <c r="AB45" t="str">
        <v/>
      </c>
      <c r="AC45" t="str">
        <v>Se compromete para el Q4, deben coordinar con proyecto Interconexion (tambien lo tiene para el Q4)</v>
      </c>
    </row>
    <row r="46">
      <c r="A46" t="str">
        <v>HIST-0045</v>
      </c>
      <c r="B46" t="str">
        <v>D0031</v>
      </c>
      <c r="C46" t="str">
        <v>PPM - BCRP</v>
      </c>
      <c r="D46" t="str">
        <v/>
      </c>
      <c r="E46" t="str">
        <v>Creación</v>
      </c>
      <c r="F46" t="str">
        <v/>
      </c>
      <c r="G46" t="str">
        <v>Vanessa Carranza</v>
      </c>
      <c r="H46" t="str">
        <v>Gianny Alfaro</v>
      </c>
      <c r="I46" t="str">
        <v>Sonia Montero</v>
      </c>
      <c r="J46" t="str">
        <v>Sandro Espinoza, Patrick Rodriguez</v>
      </c>
      <c r="K46" t="str">
        <v>Jaime Henriquez</v>
      </c>
      <c r="L46" t="str">
        <v>TAPP-BCRP</v>
      </c>
      <c r="M46" t="str">
        <v>2026-07-08</v>
      </c>
      <c r="N46" t="str">
        <v/>
      </c>
      <c r="O46" t="str">
        <v/>
      </c>
      <c r="P46" t="str">
        <v/>
      </c>
      <c r="Q46" t="str">
        <v>2026-12-31</v>
      </c>
      <c r="R46" t="str">
        <f>IF(Q46="","","Q"&amp;ROUNDUP(MONTH(Q46)/3,0)&amp;"-"&amp;YEAR(Q46))</f>
        <v>Q4-2026</v>
      </c>
      <c r="S46" t="str">
        <v>Diseño</v>
      </c>
      <c r="T46" t="str">
        <v/>
      </c>
      <c r="U46" t="str">
        <v/>
      </c>
      <c r="V46" t="str">
        <v/>
      </c>
      <c r="W46" t="str">
        <v>Media</v>
      </c>
      <c r="X46" t="str">
        <v/>
      </c>
      <c r="Y46" t="str">
        <v/>
      </c>
      <c r="Z46" t="str">
        <v/>
      </c>
      <c r="AA46" t="str">
        <v/>
      </c>
      <c r="AB46" t="str">
        <v/>
      </c>
      <c r="AC46" t="str">
        <v>Se compromete para el Q4, deben coordinar con proyecto Interconexion (tambien lo tiene para el Q4)</v>
      </c>
    </row>
    <row r="47">
      <c r="A47" t="str">
        <v>HIST-0046</v>
      </c>
      <c r="B47" t="str">
        <v>D0032</v>
      </c>
      <c r="C47" t="str">
        <v>PPM - BCRP</v>
      </c>
      <c r="D47" t="str">
        <v/>
      </c>
      <c r="E47" t="str">
        <v>Modificación</v>
      </c>
      <c r="F47" t="str">
        <v/>
      </c>
      <c r="G47" t="str">
        <v>Vanessa Carranza</v>
      </c>
      <c r="H47" t="str">
        <v>Gianny Alfaro</v>
      </c>
      <c r="I47" t="str">
        <v>Sonia Montero</v>
      </c>
      <c r="J47" t="str">
        <v>Sandro Espinoza, Patrick Rodriguez</v>
      </c>
      <c r="K47" t="str">
        <v>Jaime Henriquez</v>
      </c>
      <c r="L47" t="str">
        <v>TAPP-BCRP</v>
      </c>
      <c r="M47" t="str">
        <v>2026-07-08</v>
      </c>
      <c r="N47" t="str">
        <v/>
      </c>
      <c r="O47" t="str">
        <v/>
      </c>
      <c r="P47" t="str">
        <v/>
      </c>
      <c r="Q47" t="str">
        <v>2026-12-31</v>
      </c>
      <c r="R47" t="str">
        <f>IF(Q47="","","Q"&amp;ROUNDUP(MONTH(Q47)/3,0)&amp;"-"&amp;YEAR(Q47))</f>
        <v>Q4-2026</v>
      </c>
      <c r="S47" t="str">
        <v>Diseño</v>
      </c>
      <c r="T47" t="str">
        <v/>
      </c>
      <c r="U47" t="str">
        <v/>
      </c>
      <c r="V47" t="str">
        <v/>
      </c>
      <c r="W47" t="str">
        <v>Media</v>
      </c>
      <c r="X47" t="str">
        <v/>
      </c>
      <c r="Y47" t="str">
        <v/>
      </c>
      <c r="Z47" t="str">
        <v/>
      </c>
      <c r="AA47" t="str">
        <v/>
      </c>
      <c r="AB47" t="str">
        <v/>
      </c>
      <c r="AC47" t="str">
        <v>Se ha acordado que primero lo entrega NCD, y la modificacion se compromete para el Q4</v>
      </c>
    </row>
    <row r="48">
      <c r="A48" t="str">
        <v>HIST-0047</v>
      </c>
      <c r="B48" t="str">
        <v>D0033</v>
      </c>
      <c r="C48" t="str">
        <v>PPM - BCRP</v>
      </c>
      <c r="D48" t="str">
        <v/>
      </c>
      <c r="E48" t="str">
        <v>Creación</v>
      </c>
      <c r="F48" t="str">
        <v/>
      </c>
      <c r="G48" t="str">
        <v>Vanessa Carranza</v>
      </c>
      <c r="H48" t="str">
        <v>Gianny Alfaro</v>
      </c>
      <c r="I48" t="str">
        <v>Sonia Montero</v>
      </c>
      <c r="J48" t="str">
        <v>Sandro Espinoza, Patrick Rodriguez</v>
      </c>
      <c r="K48" t="str">
        <v>Jaime Henriquez</v>
      </c>
      <c r="L48" t="str">
        <v>TAPP-BCRP</v>
      </c>
      <c r="M48" t="str">
        <v>2026-07-08</v>
      </c>
      <c r="N48" t="str">
        <v/>
      </c>
      <c r="O48" t="str">
        <v/>
      </c>
      <c r="P48" t="str">
        <v/>
      </c>
      <c r="Q48" t="str">
        <v>2026-12-31</v>
      </c>
      <c r="R48" t="str">
        <f>IF(Q48="","","Q"&amp;ROUNDUP(MONTH(Q48)/3,0)&amp;"-"&amp;YEAR(Q48))</f>
        <v>Q4-2026</v>
      </c>
      <c r="S48" t="str">
        <v>Diseño</v>
      </c>
      <c r="T48" t="str">
        <v/>
      </c>
      <c r="U48" t="str">
        <v/>
      </c>
      <c r="V48" t="str">
        <v/>
      </c>
      <c r="W48" t="str">
        <v>Media</v>
      </c>
      <c r="X48" t="str">
        <v/>
      </c>
      <c r="Y48" t="str">
        <v/>
      </c>
      <c r="Z48" t="str">
        <v/>
      </c>
      <c r="AA48" t="str">
        <v/>
      </c>
      <c r="AB48" t="str">
        <v/>
      </c>
      <c r="AC48" t="str">
        <v>Se compromete para el Q4</v>
      </c>
    </row>
    <row r="49">
      <c r="A49" t="str">
        <v>HIST-0048</v>
      </c>
      <c r="B49" t="str">
        <v>D0003</v>
      </c>
      <c r="C49" t="str">
        <v>Fraudes</v>
      </c>
      <c r="D49" t="str">
        <v/>
      </c>
      <c r="E49" t="str">
        <v>Modificación</v>
      </c>
      <c r="F49" t="str">
        <v/>
      </c>
      <c r="G49" t="str">
        <v>Manuel Espin</v>
      </c>
      <c r="H49" t="str">
        <v>Nelson Cuba</v>
      </c>
      <c r="I49" t="str">
        <v>Jossi Chamorro</v>
      </c>
      <c r="J49" t="str">
        <v>Jerameel Benites</v>
      </c>
      <c r="K49" t="str">
        <v>José Zumaeta</v>
      </c>
      <c r="L49" t="str">
        <v>nueva APP</v>
      </c>
      <c r="M49" t="str">
        <v>2026-07-09</v>
      </c>
      <c r="N49" t="str">
        <v/>
      </c>
      <c r="O49" t="str">
        <v/>
      </c>
      <c r="P49" t="str">
        <v/>
      </c>
      <c r="Q49" t="str">
        <v>2026-12-31</v>
      </c>
      <c r="R49" t="str">
        <f>IF(Q49="","","Q"&amp;ROUNDUP(MONTH(Q49)/3,0)&amp;"-"&amp;YEAR(Q49))</f>
        <v>Q4-2026</v>
      </c>
      <c r="S49" t="str">
        <v>Diseño</v>
      </c>
      <c r="T49" t="str">
        <v/>
      </c>
      <c r="U49" t="str">
        <v/>
      </c>
      <c r="V49" t="str">
        <v/>
      </c>
      <c r="W49" t="str">
        <v>Media</v>
      </c>
      <c r="X49" t="str">
        <v/>
      </c>
      <c r="Y49" t="str">
        <v/>
      </c>
      <c r="Z49" t="str">
        <v/>
      </c>
      <c r="AA49" t="str">
        <v/>
      </c>
      <c r="AB49" t="str">
        <v/>
      </c>
      <c r="AC49" t="str">
        <v>Diseño terminado, se planifica entregar en el Q4</v>
      </c>
    </row>
    <row r="50">
      <c r="A50" t="str">
        <v>HIST-0049</v>
      </c>
      <c r="B50" t="str">
        <v>D0032</v>
      </c>
      <c r="C50" t="str">
        <v>Fraudes</v>
      </c>
      <c r="D50" t="str">
        <v/>
      </c>
      <c r="E50" t="str">
        <v>Creación</v>
      </c>
      <c r="F50" t="str">
        <v/>
      </c>
      <c r="G50" t="str">
        <v>Manuel Espin</v>
      </c>
      <c r="H50" t="str">
        <v>Nelson Cuba</v>
      </c>
      <c r="I50" t="str">
        <v>Jossi Chamorro</v>
      </c>
      <c r="J50" t="str">
        <v>Jerameel Benites</v>
      </c>
      <c r="K50" t="str">
        <v>José Zumaeta</v>
      </c>
      <c r="L50" t="str">
        <v>Fraudes</v>
      </c>
      <c r="M50" t="str">
        <v>2026-07-09</v>
      </c>
      <c r="N50" t="str">
        <v/>
      </c>
      <c r="O50" t="str">
        <v/>
      </c>
      <c r="P50" t="str">
        <v/>
      </c>
      <c r="Q50" t="str">
        <v>2026-12-31</v>
      </c>
      <c r="R50" t="str">
        <f>IF(Q50="","","Q"&amp;ROUNDUP(MONTH(Q50)/3,0)&amp;"-"&amp;YEAR(Q50))</f>
        <v>Q4-2026</v>
      </c>
      <c r="S50" t="str">
        <v>Diseño</v>
      </c>
      <c r="T50" t="str">
        <v/>
      </c>
      <c r="U50" t="str">
        <v/>
      </c>
      <c r="V50" t="str">
        <v/>
      </c>
      <c r="W50" t="str">
        <v>Media</v>
      </c>
      <c r="X50" t="str">
        <v/>
      </c>
      <c r="Y50" t="str">
        <v/>
      </c>
      <c r="Z50" t="str">
        <v/>
      </c>
      <c r="AA50" t="str">
        <v/>
      </c>
      <c r="AB50" t="str">
        <v/>
      </c>
      <c r="AC50" t="str">
        <v>Diseño terminado, se planifica entregar en el Q4</v>
      </c>
    </row>
    <row r="51">
      <c r="A51" t="str">
        <v>HIST-0050</v>
      </c>
      <c r="B51" t="str">
        <v>D0034</v>
      </c>
      <c r="C51" t="str">
        <v>Fraudes</v>
      </c>
      <c r="D51" t="str">
        <v/>
      </c>
      <c r="E51" t="str">
        <v>Creación</v>
      </c>
      <c r="F51" t="str">
        <v/>
      </c>
      <c r="G51" t="str">
        <v>Manuel Espin</v>
      </c>
      <c r="H51" t="str">
        <v>Nelson Cuba</v>
      </c>
      <c r="I51" t="str">
        <v>Jossi Chamorro</v>
      </c>
      <c r="J51" t="str">
        <v>Jerameel Benites</v>
      </c>
      <c r="K51" t="str">
        <v>José Zumaeta</v>
      </c>
      <c r="L51" t="str">
        <v>Fraudes</v>
      </c>
      <c r="M51" t="str">
        <v>2026-07-09</v>
      </c>
      <c r="N51" t="str">
        <v/>
      </c>
      <c r="O51" t="str">
        <v/>
      </c>
      <c r="P51" t="str">
        <v/>
      </c>
      <c r="Q51" t="str">
        <v>2026-12-31</v>
      </c>
      <c r="R51" t="str">
        <f>IF(Q51="","","Q"&amp;ROUNDUP(MONTH(Q51)/3,0)&amp;"-"&amp;YEAR(Q51))</f>
        <v>Q4-2026</v>
      </c>
      <c r="S51" t="str">
        <v>Diseño</v>
      </c>
      <c r="T51" t="str">
        <v/>
      </c>
      <c r="U51" t="str">
        <v/>
      </c>
      <c r="V51" t="str">
        <v/>
      </c>
      <c r="W51" t="str">
        <v>Media</v>
      </c>
      <c r="X51" t="str">
        <v/>
      </c>
      <c r="Y51" t="str">
        <v/>
      </c>
      <c r="Z51" t="str">
        <v/>
      </c>
      <c r="AA51" t="str">
        <v/>
      </c>
      <c r="AB51" t="str">
        <v/>
      </c>
      <c r="AC51" t="str">
        <v>Diseño terminado, se planifica entregar en el Q4</v>
      </c>
    </row>
    <row r="52">
      <c r="A52" t="str">
        <v>HIST-0051</v>
      </c>
      <c r="B52" t="str">
        <v>D0007</v>
      </c>
      <c r="C52" t="str">
        <v>Fraudes</v>
      </c>
      <c r="D52" t="str">
        <v/>
      </c>
      <c r="E52" t="str">
        <v>Modificación</v>
      </c>
      <c r="F52" t="str">
        <v/>
      </c>
      <c r="G52" t="str">
        <v>Manuel Espin</v>
      </c>
      <c r="H52" t="str">
        <v>Nelson Cuba</v>
      </c>
      <c r="I52" t="str">
        <v>Jossi Chamorro</v>
      </c>
      <c r="J52" t="str">
        <v>Jerameel Benites</v>
      </c>
      <c r="K52" t="str">
        <v>José Zumaeta</v>
      </c>
      <c r="L52" t="str">
        <v>Fraudes</v>
      </c>
      <c r="M52" t="str">
        <v>2026-07-09</v>
      </c>
      <c r="N52" t="str">
        <v/>
      </c>
      <c r="O52" t="str">
        <v/>
      </c>
      <c r="P52" t="str">
        <v/>
      </c>
      <c r="Q52" t="str">
        <v>2026-12-31</v>
      </c>
      <c r="R52" t="str">
        <f>IF(Q52="","","Q"&amp;ROUNDUP(MONTH(Q52)/3,0)&amp;"-"&amp;YEAR(Q52))</f>
        <v>Q4-2026</v>
      </c>
      <c r="S52" t="str">
        <v>Diseño</v>
      </c>
      <c r="T52" t="str">
        <v/>
      </c>
      <c r="U52" t="str">
        <v/>
      </c>
      <c r="V52" t="str">
        <v/>
      </c>
      <c r="W52" t="str">
        <v>Media</v>
      </c>
      <c r="X52" t="str">
        <v/>
      </c>
      <c r="Y52" t="str">
        <v/>
      </c>
      <c r="Z52" t="str">
        <v/>
      </c>
      <c r="AA52" t="str">
        <v/>
      </c>
      <c r="AB52" t="str">
        <v/>
      </c>
      <c r="AC52" t="str">
        <v>Diseño terminado, se planifica entregar en el Q4</v>
      </c>
    </row>
    <row r="53">
      <c r="A53" t="str">
        <v>HIST-0052</v>
      </c>
      <c r="B53" t="str">
        <v>D0035</v>
      </c>
      <c r="C53" t="str">
        <v>Urpi Pro</v>
      </c>
      <c r="D53" t="str">
        <v/>
      </c>
      <c r="E53" t="str">
        <v>Creación</v>
      </c>
      <c r="F53" t="str">
        <v/>
      </c>
      <c r="G53" t="str">
        <v>Maria Reyes</v>
      </c>
      <c r="H53" t="str">
        <v>Carlos Solano</v>
      </c>
      <c r="I53" t="str">
        <v/>
      </c>
      <c r="J53" t="str">
        <v>Edwin Suarez</v>
      </c>
      <c r="K53" t="str">
        <v>Luis Palomino</v>
      </c>
      <c r="L53" t="str">
        <v>Urpi Pro</v>
      </c>
      <c r="M53" t="str">
        <v>2026-07-08</v>
      </c>
      <c r="N53" t="str">
        <v/>
      </c>
      <c r="O53" t="str">
        <v/>
      </c>
      <c r="P53" t="str">
        <v/>
      </c>
      <c r="Q53" t="str">
        <v>TBD</v>
      </c>
      <c r="R53" t="str">
        <f>IF(Q53="","","Q"&amp;ROUNDUP(MONTH(Q53)/3,0)&amp;"-"&amp;YEAR(Q53))</f>
        <v/>
      </c>
      <c r="S53" t="str">
        <v>Diseño</v>
      </c>
      <c r="T53" t="str">
        <v/>
      </c>
      <c r="U53" t="str">
        <v/>
      </c>
      <c r="V53" t="str">
        <v/>
      </c>
      <c r="W53" t="str">
        <v/>
      </c>
      <c r="X53" t="str">
        <v/>
      </c>
      <c r="Y53" t="str">
        <v/>
      </c>
      <c r="Z53" t="str">
        <v/>
      </c>
      <c r="AA53" t="str">
        <v/>
      </c>
      <c r="AB53" t="str">
        <v/>
      </c>
      <c r="AC53" t="str">
        <v>Interconexion lo entrega en el Q3, probablemente Urpi Pro lo modifique para el Q4, Confirmar Planificación con TTL Carlos Solano</v>
      </c>
    </row>
    <row r="54">
      <c r="A54" t="str">
        <v>HIST-0053</v>
      </c>
      <c r="B54" t="str">
        <v>D0036</v>
      </c>
      <c r="C54" t="str">
        <v>Urpi Pro</v>
      </c>
      <c r="D54" t="str">
        <v/>
      </c>
      <c r="E54" t="str">
        <v>Creación</v>
      </c>
      <c r="F54" t="str">
        <v/>
      </c>
      <c r="G54" t="str">
        <v>Maria Reyes</v>
      </c>
      <c r="H54" t="str">
        <v>Carlos Solano</v>
      </c>
      <c r="I54" t="str">
        <v/>
      </c>
      <c r="J54" t="str">
        <v>Edwin Suarez</v>
      </c>
      <c r="K54" t="str">
        <v>Luis Palomino</v>
      </c>
      <c r="L54" t="str">
        <v>Urpi Pro</v>
      </c>
      <c r="M54" t="str">
        <v>2026-07-08</v>
      </c>
      <c r="N54" t="str">
        <v/>
      </c>
      <c r="O54" t="str">
        <v/>
      </c>
      <c r="P54" t="str">
        <v/>
      </c>
      <c r="Q54" t="str">
        <v>TBD</v>
      </c>
      <c r="R54" t="str">
        <f>IF(Q54="","","Q"&amp;ROUNDUP(MONTH(Q54)/3,0)&amp;"-"&amp;YEAR(Q54))</f>
        <v/>
      </c>
      <c r="S54" t="str">
        <v>Diseño</v>
      </c>
      <c r="T54" t="str">
        <v/>
      </c>
      <c r="U54" t="str">
        <v/>
      </c>
      <c r="V54" t="str">
        <v/>
      </c>
      <c r="W54" t="str">
        <v/>
      </c>
      <c r="X54" t="str">
        <v/>
      </c>
      <c r="Y54" t="str">
        <v/>
      </c>
      <c r="Z54" t="str">
        <v/>
      </c>
      <c r="AA54" t="str">
        <v/>
      </c>
      <c r="AB54" t="str">
        <v/>
      </c>
      <c r="AC54" t="str">
        <v>Confirmar Planificación con TTL Carlos Solano o Edwin Suarez</v>
      </c>
    </row>
    <row r="55">
      <c r="A55" t="str">
        <v>HIST-0054</v>
      </c>
      <c r="B55" t="str">
        <v>D0037</v>
      </c>
      <c r="C55" t="str">
        <v>Urpi Pro</v>
      </c>
      <c r="D55" t="str">
        <v/>
      </c>
      <c r="E55" t="str">
        <v>Creación</v>
      </c>
      <c r="F55" t="str">
        <v/>
      </c>
      <c r="G55" t="str">
        <v>Maria Reyes</v>
      </c>
      <c r="H55" t="str">
        <v>Carlos Solano</v>
      </c>
      <c r="I55" t="str">
        <v/>
      </c>
      <c r="J55" t="str">
        <v>Edwin Suarez</v>
      </c>
      <c r="K55" t="str">
        <v>Luis Palomino</v>
      </c>
      <c r="L55" t="str">
        <v>Urpi Pro</v>
      </c>
      <c r="M55" t="str">
        <v>2026-07-08</v>
      </c>
      <c r="N55" t="str">
        <v/>
      </c>
      <c r="O55" t="str">
        <v/>
      </c>
      <c r="P55" t="str">
        <v/>
      </c>
      <c r="Q55" t="str">
        <v>TBD</v>
      </c>
      <c r="R55" t="str">
        <f>IF(Q55="","","Q"&amp;ROUNDUP(MONTH(Q55)/3,0)&amp;"-"&amp;YEAR(Q55))</f>
        <v/>
      </c>
      <c r="S55" t="str">
        <v>Diseño</v>
      </c>
      <c r="T55" t="str">
        <v/>
      </c>
      <c r="U55" t="str">
        <v/>
      </c>
      <c r="V55" t="str">
        <v/>
      </c>
      <c r="W55" t="str">
        <v/>
      </c>
      <c r="X55" t="str">
        <v/>
      </c>
      <c r="Y55" t="str">
        <v/>
      </c>
      <c r="Z55" t="str">
        <v/>
      </c>
      <c r="AA55" t="str">
        <v/>
      </c>
      <c r="AB55" t="str">
        <v/>
      </c>
      <c r="AC55" t="str">
        <v>Confirmar Planificación con TTL Carlos Solano o Edwin Suarez</v>
      </c>
    </row>
    <row r="56">
      <c r="A56" t="str">
        <v>HIST-0055</v>
      </c>
      <c r="B56" t="str">
        <v>D0038</v>
      </c>
      <c r="C56" t="str">
        <v>Urpi Pro</v>
      </c>
      <c r="D56" t="str">
        <v/>
      </c>
      <c r="E56" t="str">
        <v/>
      </c>
      <c r="F56" t="str">
        <v/>
      </c>
      <c r="G56" t="str">
        <v>Maria Reyes</v>
      </c>
      <c r="H56" t="str">
        <v>Carlos Solano</v>
      </c>
      <c r="I56" t="str">
        <v/>
      </c>
      <c r="J56" t="str">
        <v>Edwin Suarez</v>
      </c>
      <c r="K56" t="str">
        <v>Luis Palomino</v>
      </c>
      <c r="L56" t="str">
        <v>Urpi Pro</v>
      </c>
      <c r="M56" t="str">
        <v>2026-07-08</v>
      </c>
      <c r="N56" t="str">
        <v/>
      </c>
      <c r="O56" t="str">
        <v/>
      </c>
      <c r="P56" t="str">
        <v/>
      </c>
      <c r="Q56" t="str">
        <v>TBD</v>
      </c>
      <c r="R56" t="str">
        <f>IF(Q56="","","Q"&amp;ROUNDUP(MONTH(Q56)/3,0)&amp;"-"&amp;YEAR(Q56))</f>
        <v/>
      </c>
      <c r="S56" t="str">
        <v>Identificado</v>
      </c>
      <c r="T56" t="str">
        <v/>
      </c>
      <c r="U56" t="str">
        <v/>
      </c>
      <c r="V56" t="str">
        <v/>
      </c>
      <c r="W56" t="str">
        <v/>
      </c>
      <c r="X56" t="str">
        <v/>
      </c>
      <c r="Y56" t="str">
        <v/>
      </c>
      <c r="Z56" t="str">
        <v/>
      </c>
      <c r="AA56" t="str">
        <v/>
      </c>
      <c r="AB56" t="str">
        <v/>
      </c>
      <c r="AC56" t="str">
        <v>Desestimado</v>
      </c>
    </row>
    <row r="57">
      <c r="A57" t="str">
        <v>HIST-0056</v>
      </c>
      <c r="B57" t="str">
        <v>D0009</v>
      </c>
      <c r="C57" t="str">
        <v>Urpi Pro</v>
      </c>
      <c r="D57" t="str">
        <v/>
      </c>
      <c r="E57" t="str">
        <v>Modificación</v>
      </c>
      <c r="F57" t="str">
        <v/>
      </c>
      <c r="G57" t="str">
        <v>Maria Reyes</v>
      </c>
      <c r="H57" t="str">
        <v>Carlos Solano</v>
      </c>
      <c r="I57" t="str">
        <v/>
      </c>
      <c r="J57" t="str">
        <v>Edwin Suarez</v>
      </c>
      <c r="K57" t="str">
        <v>Luis Palomino</v>
      </c>
      <c r="L57" t="str">
        <v>Urpi Pro</v>
      </c>
      <c r="M57" t="str">
        <v>2026-07-08</v>
      </c>
      <c r="N57" t="str">
        <v/>
      </c>
      <c r="O57" t="str">
        <v/>
      </c>
      <c r="P57" t="str">
        <v/>
      </c>
      <c r="Q57" t="str">
        <v>TBD</v>
      </c>
      <c r="R57" t="str">
        <f>IF(Q57="","","Q"&amp;ROUNDUP(MONTH(Q57)/3,0)&amp;"-"&amp;YEAR(Q57))</f>
        <v/>
      </c>
      <c r="S57" t="str">
        <v>Identificado</v>
      </c>
      <c r="T57" t="str">
        <v/>
      </c>
      <c r="U57" t="str">
        <v/>
      </c>
      <c r="V57" t="str">
        <v/>
      </c>
      <c r="W57" t="str">
        <v/>
      </c>
      <c r="X57" t="str">
        <v/>
      </c>
      <c r="Y57" t="str">
        <v/>
      </c>
      <c r="Z57" t="str">
        <v/>
      </c>
      <c r="AA57" t="str">
        <v/>
      </c>
      <c r="AB57" t="str">
        <v/>
      </c>
      <c r="AC57" t="str">
        <v>Desestimado, Neobanco lo entregó en el Q1</v>
      </c>
    </row>
    <row r="58">
      <c r="A58" t="str">
        <v>HIST-0057</v>
      </c>
      <c r="B58" t="str">
        <v>D0003</v>
      </c>
      <c r="C58" t="str">
        <v>Urpi Pro</v>
      </c>
      <c r="D58" t="str">
        <v/>
      </c>
      <c r="E58" t="str">
        <v>Reutilización</v>
      </c>
      <c r="F58" t="str">
        <v/>
      </c>
      <c r="G58" t="str">
        <v>Maria Reyes</v>
      </c>
      <c r="H58" t="str">
        <v>Carlos Solano</v>
      </c>
      <c r="I58" t="str">
        <v/>
      </c>
      <c r="J58" t="str">
        <v>Edwin Suarez</v>
      </c>
      <c r="K58" t="str">
        <v>Luis Palomino</v>
      </c>
      <c r="L58" t="str">
        <v>Urpi Pro</v>
      </c>
      <c r="M58" t="str">
        <v>2026-07-08</v>
      </c>
      <c r="N58" t="str">
        <v/>
      </c>
      <c r="O58" t="str">
        <v/>
      </c>
      <c r="P58" t="str">
        <v/>
      </c>
      <c r="Q58" t="str">
        <v>TBD</v>
      </c>
      <c r="R58" t="str">
        <f>IF(Q58="","","Q"&amp;ROUNDUP(MONTH(Q58)/3,0)&amp;"-"&amp;YEAR(Q58))</f>
        <v/>
      </c>
      <c r="S58" t="str">
        <v>Diseño</v>
      </c>
      <c r="T58" t="str">
        <v/>
      </c>
      <c r="U58" t="str">
        <v/>
      </c>
      <c r="V58" t="str">
        <v/>
      </c>
      <c r="W58" t="str">
        <v/>
      </c>
      <c r="X58" t="str">
        <v/>
      </c>
      <c r="Y58" t="str">
        <v/>
      </c>
      <c r="Z58" t="str">
        <v/>
      </c>
      <c r="AA58" t="str">
        <v/>
      </c>
      <c r="AB58" t="str">
        <v/>
      </c>
      <c r="AC58" t="str">
        <v>Neobanco lo entrego en el Q1</v>
      </c>
    </row>
    <row r="59">
      <c r="A59" t="str">
        <v>HIST-0058</v>
      </c>
      <c r="B59" t="str">
        <v>D0039</v>
      </c>
      <c r="C59" t="str">
        <v>Urpi Pro</v>
      </c>
      <c r="D59" t="str">
        <v/>
      </c>
      <c r="E59" t="str">
        <v>Modificación</v>
      </c>
      <c r="F59" t="str">
        <v/>
      </c>
      <c r="G59" t="str">
        <v>Maria Reyes</v>
      </c>
      <c r="H59" t="str">
        <v>Carlos Solano</v>
      </c>
      <c r="I59" t="str">
        <v/>
      </c>
      <c r="J59" t="str">
        <v>Edwin Suarez</v>
      </c>
      <c r="K59" t="str">
        <v>Luis Palomino</v>
      </c>
      <c r="L59" t="str">
        <v>Urpi Pro</v>
      </c>
      <c r="M59" t="str">
        <v>2026-07-08</v>
      </c>
      <c r="N59" t="str">
        <v/>
      </c>
      <c r="O59" t="str">
        <v/>
      </c>
      <c r="P59" t="str">
        <v/>
      </c>
      <c r="Q59" t="str">
        <v>2026-04-30</v>
      </c>
      <c r="R59" t="str">
        <f>IF(Q59="","","Q"&amp;ROUNDUP(MONTH(Q59)/3,0)&amp;"-"&amp;YEAR(Q59))</f>
        <v>Q2-2026</v>
      </c>
      <c r="S59" t="str">
        <v>Producción</v>
      </c>
      <c r="T59" t="str">
        <v/>
      </c>
      <c r="U59" t="str">
        <v/>
      </c>
      <c r="V59" t="str">
        <v/>
      </c>
      <c r="W59" t="str">
        <v/>
      </c>
      <c r="X59" t="str">
        <v/>
      </c>
      <c r="Y59" t="str">
        <v/>
      </c>
      <c r="Z59" t="str">
        <v/>
      </c>
      <c r="AA59" t="str">
        <v/>
      </c>
      <c r="AB59" t="str">
        <v/>
      </c>
      <c r="AC59" t="str">
        <v>Neobanco lo entrego en el Q1, Urpi Pro en Q2</v>
      </c>
    </row>
    <row r="60">
      <c r="A60" t="str">
        <v>HIST-0059</v>
      </c>
      <c r="B60" t="str">
        <v>D0007</v>
      </c>
      <c r="C60" t="str">
        <v>Urpi Pro</v>
      </c>
      <c r="D60" t="str">
        <v/>
      </c>
      <c r="E60" t="str">
        <v>Reutilización</v>
      </c>
      <c r="F60" t="str">
        <v/>
      </c>
      <c r="G60" t="str">
        <v>Maria Reyes</v>
      </c>
      <c r="H60" t="str">
        <v>Carlos Solano</v>
      </c>
      <c r="I60" t="str">
        <v/>
      </c>
      <c r="J60" t="str">
        <v>Edwin Suarez</v>
      </c>
      <c r="K60" t="str">
        <v>Luis Palomino</v>
      </c>
      <c r="L60" t="str">
        <v>Urpi Pro</v>
      </c>
      <c r="M60" t="str">
        <v>2026-07-08</v>
      </c>
      <c r="N60" t="str">
        <v/>
      </c>
      <c r="O60" t="str">
        <v/>
      </c>
      <c r="P60" t="str">
        <v/>
      </c>
      <c r="Q60" t="str">
        <v>TBD</v>
      </c>
      <c r="R60" t="str">
        <f>IF(Q60="","","Q"&amp;ROUNDUP(MONTH(Q60)/3,0)&amp;"-"&amp;YEAR(Q60))</f>
        <v/>
      </c>
      <c r="S60" t="str">
        <v>Diseño</v>
      </c>
      <c r="T60" t="str">
        <v/>
      </c>
      <c r="U60" t="str">
        <v/>
      </c>
      <c r="V60" t="str">
        <v/>
      </c>
      <c r="W60" t="str">
        <v/>
      </c>
      <c r="X60" t="str">
        <v/>
      </c>
      <c r="Y60" t="str">
        <v/>
      </c>
      <c r="Z60" t="str">
        <v/>
      </c>
      <c r="AA60" t="str">
        <v/>
      </c>
      <c r="AB60" t="str">
        <v/>
      </c>
      <c r="AC60" t="str">
        <v>Neobanco lo entrego en el Q1, Riesgos tambien lo esta viendo, Urpi Pro resutilizará</v>
      </c>
    </row>
    <row r="61">
      <c r="A61" t="str">
        <v>HIST-0060</v>
      </c>
      <c r="B61" t="str">
        <v>D0040</v>
      </c>
      <c r="C61" t="str">
        <v>Urpi Pro</v>
      </c>
      <c r="D61" t="str">
        <v/>
      </c>
      <c r="E61" t="str">
        <v/>
      </c>
      <c r="F61" t="str">
        <v/>
      </c>
      <c r="G61" t="str">
        <v>Maria Reyes</v>
      </c>
      <c r="H61" t="str">
        <v>Carlos Solano</v>
      </c>
      <c r="I61" t="str">
        <v/>
      </c>
      <c r="J61" t="str">
        <v>Edwin Suarez</v>
      </c>
      <c r="K61" t="str">
        <v>Luis Palomino</v>
      </c>
      <c r="L61" t="str">
        <v>Urpi Pro</v>
      </c>
      <c r="M61" t="str">
        <v>2026-07-08</v>
      </c>
      <c r="N61" t="str">
        <v/>
      </c>
      <c r="O61" t="str">
        <v/>
      </c>
      <c r="P61" t="str">
        <v/>
      </c>
      <c r="Q61" t="str">
        <v>TBD</v>
      </c>
      <c r="R61" t="str">
        <f>IF(Q61="","","Q"&amp;ROUNDUP(MONTH(Q61)/3,0)&amp;"-"&amp;YEAR(Q61))</f>
        <v/>
      </c>
      <c r="S61" t="str">
        <v>Identificado</v>
      </c>
      <c r="T61" t="str">
        <v/>
      </c>
      <c r="U61" t="str">
        <v/>
      </c>
      <c r="V61" t="str">
        <v/>
      </c>
      <c r="W61" t="str">
        <v/>
      </c>
      <c r="X61" t="str">
        <v/>
      </c>
      <c r="Y61" t="str">
        <v/>
      </c>
      <c r="Z61" t="str">
        <v/>
      </c>
      <c r="AA61" t="str">
        <v/>
      </c>
      <c r="AB61" t="str">
        <v/>
      </c>
      <c r="AC61" t="str">
        <v>Desestimado</v>
      </c>
    </row>
    <row r="62">
      <c r="A62" t="str">
        <v>HIST-0061</v>
      </c>
      <c r="B62" t="str">
        <v>D0041</v>
      </c>
      <c r="C62" t="str">
        <v>Urpi Pro</v>
      </c>
      <c r="D62" t="str">
        <v/>
      </c>
      <c r="E62" t="str">
        <v/>
      </c>
      <c r="F62" t="str">
        <v/>
      </c>
      <c r="G62" t="str">
        <v>Maria Reyes</v>
      </c>
      <c r="H62" t="str">
        <v>Carlos Solano</v>
      </c>
      <c r="I62" t="str">
        <v/>
      </c>
      <c r="J62" t="str">
        <v>Edwin Suarez</v>
      </c>
      <c r="K62" t="str">
        <v>Luis Palomino</v>
      </c>
      <c r="L62" t="str">
        <v>Urpi Pro</v>
      </c>
      <c r="M62" t="str">
        <v>2026-07-08</v>
      </c>
      <c r="N62" t="str">
        <v/>
      </c>
      <c r="O62" t="str">
        <v/>
      </c>
      <c r="P62" t="str">
        <v/>
      </c>
      <c r="Q62" t="str">
        <v>TBD</v>
      </c>
      <c r="R62" t="str">
        <f>IF(Q62="","","Q"&amp;ROUNDUP(MONTH(Q62)/3,0)&amp;"-"&amp;YEAR(Q62))</f>
        <v/>
      </c>
      <c r="S62" t="str">
        <v>Identificado</v>
      </c>
      <c r="T62" t="str">
        <v/>
      </c>
      <c r="U62" t="str">
        <v/>
      </c>
      <c r="V62" t="str">
        <v/>
      </c>
      <c r="W62" t="str">
        <v/>
      </c>
      <c r="X62" t="str">
        <v/>
      </c>
      <c r="Y62" t="str">
        <v/>
      </c>
      <c r="Z62" t="str">
        <v/>
      </c>
      <c r="AA62" t="str">
        <v/>
      </c>
      <c r="AB62" t="str">
        <v/>
      </c>
      <c r="AC62" t="str">
        <v>Desestimado</v>
      </c>
    </row>
    <row r="63">
      <c r="A63" t="str">
        <v>HIST-0062</v>
      </c>
      <c r="B63" t="str">
        <v>D0042</v>
      </c>
      <c r="C63" t="str">
        <v>Urpi Pro</v>
      </c>
      <c r="D63" t="str">
        <v/>
      </c>
      <c r="E63" t="str">
        <v/>
      </c>
      <c r="F63" t="str">
        <v/>
      </c>
      <c r="G63" t="str">
        <v>Maria Reyes</v>
      </c>
      <c r="H63" t="str">
        <v>Carlos Solano</v>
      </c>
      <c r="I63" t="str">
        <v/>
      </c>
      <c r="J63" t="str">
        <v>Edwin Suarez</v>
      </c>
      <c r="K63" t="str">
        <v>Luis Palomino</v>
      </c>
      <c r="L63" t="str">
        <v>Urpi Pro</v>
      </c>
      <c r="M63" t="str">
        <v>2026-07-08</v>
      </c>
      <c r="N63" t="str">
        <v/>
      </c>
      <c r="O63" t="str">
        <v/>
      </c>
      <c r="P63" t="str">
        <v/>
      </c>
      <c r="Q63" t="str">
        <v>TBD</v>
      </c>
      <c r="R63" t="str">
        <f>IF(Q63="","","Q"&amp;ROUNDUP(MONTH(Q63)/3,0)&amp;"-"&amp;YEAR(Q63))</f>
        <v/>
      </c>
      <c r="S63" t="str">
        <v>Identificado</v>
      </c>
      <c r="T63" t="str">
        <v/>
      </c>
      <c r="U63" t="str">
        <v/>
      </c>
      <c r="V63" t="str">
        <v/>
      </c>
      <c r="W63" t="str">
        <v/>
      </c>
      <c r="X63" t="str">
        <v/>
      </c>
      <c r="Y63" t="str">
        <v/>
      </c>
      <c r="Z63" t="str">
        <v/>
      </c>
      <c r="AA63" t="str">
        <v/>
      </c>
      <c r="AB63" t="str">
        <v/>
      </c>
      <c r="AC63" t="str">
        <v>Desestimado</v>
      </c>
    </row>
    <row r="64">
      <c r="A64" t="str">
        <v>HIST-0063</v>
      </c>
      <c r="B64" t="str">
        <v>D0006</v>
      </c>
      <c r="C64" t="str">
        <v>Urpi Pro</v>
      </c>
      <c r="D64" t="str">
        <v/>
      </c>
      <c r="E64" t="str">
        <v/>
      </c>
      <c r="F64" t="str">
        <v/>
      </c>
      <c r="G64" t="str">
        <v>Maria Reyes</v>
      </c>
      <c r="H64" t="str">
        <v>Carlos Solano</v>
      </c>
      <c r="I64" t="str">
        <v/>
      </c>
      <c r="J64" t="str">
        <v>Edwin Suarez</v>
      </c>
      <c r="K64" t="str">
        <v>Luis Palomino</v>
      </c>
      <c r="L64" t="str">
        <v>Urpi Pro</v>
      </c>
      <c r="M64" t="str">
        <v>2026-07-08</v>
      </c>
      <c r="N64" t="str">
        <v/>
      </c>
      <c r="O64" t="str">
        <v/>
      </c>
      <c r="P64" t="str">
        <v/>
      </c>
      <c r="Q64" t="str">
        <v>TBD</v>
      </c>
      <c r="R64" t="str">
        <f>IF(Q64="","","Q"&amp;ROUNDUP(MONTH(Q64)/3,0)&amp;"-"&amp;YEAR(Q64))</f>
        <v/>
      </c>
      <c r="S64" t="str">
        <v>Identificado</v>
      </c>
      <c r="T64" t="str">
        <v/>
      </c>
      <c r="U64" t="str">
        <v/>
      </c>
      <c r="V64" t="str">
        <v/>
      </c>
      <c r="W64" t="str">
        <v/>
      </c>
      <c r="X64" t="str">
        <v/>
      </c>
      <c r="Y64" t="str">
        <v/>
      </c>
      <c r="Z64" t="str">
        <v/>
      </c>
      <c r="AA64" t="str">
        <v/>
      </c>
      <c r="AB64" t="str">
        <v/>
      </c>
      <c r="AC64" t="str">
        <v>Desestimado</v>
      </c>
    </row>
    <row r="65">
      <c r="A65" t="str">
        <v>HIST-0064</v>
      </c>
      <c r="B65" t="str">
        <v>D0007</v>
      </c>
      <c r="C65" t="str">
        <v>Urpi Pro</v>
      </c>
      <c r="D65" t="str">
        <v/>
      </c>
      <c r="E65" t="str">
        <v>Reutilización</v>
      </c>
      <c r="F65" t="str">
        <v/>
      </c>
      <c r="G65" t="str">
        <v>Maria Reyes</v>
      </c>
      <c r="H65" t="str">
        <v>Carlos Solano</v>
      </c>
      <c r="I65" t="str">
        <v/>
      </c>
      <c r="J65" t="str">
        <v>Edwin Suarez</v>
      </c>
      <c r="K65" t="str">
        <v>Luis Palomino</v>
      </c>
      <c r="L65" t="str">
        <v>Urpi Pro</v>
      </c>
      <c r="M65" t="str">
        <v>2026-07-08</v>
      </c>
      <c r="N65" t="str">
        <v/>
      </c>
      <c r="O65" t="str">
        <v/>
      </c>
      <c r="P65" t="str">
        <v/>
      </c>
      <c r="Q65" t="str">
        <v>TBD</v>
      </c>
      <c r="R65" t="str">
        <f>IF(Q65="","","Q"&amp;ROUNDUP(MONTH(Q65)/3,0)&amp;"-"&amp;YEAR(Q65))</f>
        <v/>
      </c>
      <c r="S65" t="str">
        <v>Identificado</v>
      </c>
      <c r="T65" t="str">
        <v/>
      </c>
      <c r="U65" t="str">
        <v/>
      </c>
      <c r="V65" t="str">
        <v/>
      </c>
      <c r="W65" t="str">
        <v/>
      </c>
      <c r="X65" t="str">
        <v/>
      </c>
      <c r="Y65" t="str">
        <v/>
      </c>
      <c r="Z65" t="str">
        <v/>
      </c>
      <c r="AA65" t="str">
        <v/>
      </c>
      <c r="AB65" t="str">
        <v/>
      </c>
      <c r="AC65" t="str">
        <v>Neobanco lo entrego en el Q1, Riesgos tambien lo esta viendo, Urpi Pro resutilizará</v>
      </c>
    </row>
    <row r="66">
      <c r="A66" t="str">
        <v>HIST-0065</v>
      </c>
      <c r="B66" t="str">
        <v>D0043</v>
      </c>
      <c r="C66" t="str">
        <v>Urpi Pro</v>
      </c>
      <c r="D66" t="str">
        <v/>
      </c>
      <c r="E66" t="str">
        <v/>
      </c>
      <c r="F66" t="str">
        <v/>
      </c>
      <c r="G66" t="str">
        <v>Maria Reyes</v>
      </c>
      <c r="H66" t="str">
        <v>Carlos Solano</v>
      </c>
      <c r="I66" t="str">
        <v/>
      </c>
      <c r="J66" t="str">
        <v>Edwin Suarez</v>
      </c>
      <c r="K66" t="str">
        <v>Luis Palomino</v>
      </c>
      <c r="L66" t="str">
        <v>Urpi Pro</v>
      </c>
      <c r="M66" t="str">
        <v>2026-07-08</v>
      </c>
      <c r="N66" t="str">
        <v/>
      </c>
      <c r="O66" t="str">
        <v/>
      </c>
      <c r="P66" t="str">
        <v/>
      </c>
      <c r="Q66" t="str">
        <v>TBD</v>
      </c>
      <c r="R66" t="str">
        <f>IF(Q66="","","Q"&amp;ROUNDUP(MONTH(Q66)/3,0)&amp;"-"&amp;YEAR(Q66))</f>
        <v/>
      </c>
      <c r="S66" t="str">
        <v>Identificado</v>
      </c>
      <c r="T66" t="str">
        <v/>
      </c>
      <c r="U66" t="str">
        <v/>
      </c>
      <c r="V66" t="str">
        <v/>
      </c>
      <c r="W66" t="str">
        <v/>
      </c>
      <c r="X66" t="str">
        <v/>
      </c>
      <c r="Y66" t="str">
        <v/>
      </c>
      <c r="Z66" t="str">
        <v/>
      </c>
      <c r="AA66" t="str">
        <v/>
      </c>
      <c r="AB66" t="str">
        <v/>
      </c>
      <c r="AC66" t="str">
        <v>Desestimado</v>
      </c>
    </row>
    <row r="67">
      <c r="A67" t="str">
        <v>HIST-0066</v>
      </c>
      <c r="B67" t="str">
        <v>D0044</v>
      </c>
      <c r="C67" t="str">
        <v>Neobanco</v>
      </c>
      <c r="D67" t="str">
        <v/>
      </c>
      <c r="E67" t="str">
        <v>Creación</v>
      </c>
      <c r="F67" t="str">
        <v>OP-0031, OP-0032, OP-0033</v>
      </c>
      <c r="G67" t="str">
        <v>Ricardo Garmendia</v>
      </c>
      <c r="H67" t="str">
        <v>Jose Seminario</v>
      </c>
      <c r="I67" t="str">
        <v>Alex Guerrero</v>
      </c>
      <c r="J67" t="str">
        <v>Cesar Lama</v>
      </c>
      <c r="K67" t="str">
        <v>Telly Tataje</v>
      </c>
      <c r="L67" t="str">
        <v>Neobanco</v>
      </c>
      <c r="M67" t="str">
        <v>2026-06-30</v>
      </c>
      <c r="N67" t="str">
        <v/>
      </c>
      <c r="O67" t="str">
        <v/>
      </c>
      <c r="P67" t="str">
        <v/>
      </c>
      <c r="Q67" t="str">
        <v>2026-03-31</v>
      </c>
      <c r="R67" t="str">
        <f>IF(Q67="","","Q"&amp;ROUNDUP(MONTH(Q67)/3,0)&amp;"-"&amp;YEAR(Q67))</f>
        <v>Q1-2026</v>
      </c>
      <c r="S67" t="str">
        <v>Producción</v>
      </c>
      <c r="T67" t="str">
        <v/>
      </c>
      <c r="U67" t="str">
        <v/>
      </c>
      <c r="V67" t="str">
        <v/>
      </c>
      <c r="W67" t="str">
        <v/>
      </c>
      <c r="X67" t="str">
        <v/>
      </c>
      <c r="Y67" t="str">
        <v/>
      </c>
      <c r="Z67" t="str">
        <v/>
      </c>
      <c r="AA67" t="str">
        <v/>
      </c>
      <c r="AB67" t="str">
        <v/>
      </c>
      <c r="AC67" t="str">
        <v>Pasó a produccion en Q1</v>
      </c>
    </row>
    <row r="68">
      <c r="A68" t="str">
        <v>HIST-0067</v>
      </c>
      <c r="B68" t="str">
        <v>D0045</v>
      </c>
      <c r="C68" t="str">
        <v>Neobanco</v>
      </c>
      <c r="D68" t="str">
        <v/>
      </c>
      <c r="E68" t="str">
        <v>Creación</v>
      </c>
      <c r="F68" t="str">
        <v/>
      </c>
      <c r="G68" t="str">
        <v>Ricardo Garmendia</v>
      </c>
      <c r="H68" t="str">
        <v>Jose Seminario</v>
      </c>
      <c r="I68" t="str">
        <v>Alex Guerrero</v>
      </c>
      <c r="J68" t="str">
        <v>Cesar Lama</v>
      </c>
      <c r="K68" t="str">
        <v>Telly Tataje</v>
      </c>
      <c r="L68" t="str">
        <v/>
      </c>
      <c r="M68" t="str">
        <v>2026-06-30</v>
      </c>
      <c r="N68" t="str">
        <v/>
      </c>
      <c r="O68" t="str">
        <v/>
      </c>
      <c r="P68" t="str">
        <v/>
      </c>
      <c r="Q68" t="str">
        <v>2026-03-31</v>
      </c>
      <c r="R68" t="str">
        <f>IF(Q68="","","Q"&amp;ROUNDUP(MONTH(Q68)/3,0)&amp;"-"&amp;YEAR(Q68))</f>
        <v>Q1-2026</v>
      </c>
      <c r="S68" t="str">
        <v>Producción</v>
      </c>
      <c r="T68" t="str">
        <v/>
      </c>
      <c r="U68" t="str">
        <v/>
      </c>
      <c r="V68" t="str">
        <v/>
      </c>
      <c r="W68" t="str">
        <v/>
      </c>
      <c r="X68" t="str">
        <v/>
      </c>
      <c r="Y68" t="str">
        <v/>
      </c>
      <c r="Z68" t="str">
        <v/>
      </c>
      <c r="AA68" t="str">
        <v/>
      </c>
      <c r="AB68" t="str">
        <v/>
      </c>
      <c r="AC68" t="str">
        <v>API PROC en producción entregado en Q1</v>
      </c>
    </row>
    <row r="69">
      <c r="A69" t="str">
        <v>HIST-0068</v>
      </c>
      <c r="B69" t="str">
        <v>D0012</v>
      </c>
      <c r="C69" t="str">
        <v>Neobanco</v>
      </c>
      <c r="D69" t="str">
        <v/>
      </c>
      <c r="E69" t="str">
        <v>Creación</v>
      </c>
      <c r="F69" t="str">
        <v>OP-0034</v>
      </c>
      <c r="G69" t="str">
        <v>Ricardo Garmendia</v>
      </c>
      <c r="H69" t="str">
        <v>Jose Seminario</v>
      </c>
      <c r="I69" t="str">
        <v>Alex Guerrero</v>
      </c>
      <c r="J69" t="str">
        <v>Cesar Lama</v>
      </c>
      <c r="K69" t="str">
        <v>Telly Tataje</v>
      </c>
      <c r="L69" t="str">
        <v>Neobanco</v>
      </c>
      <c r="M69" t="str">
        <v>2026-06-30</v>
      </c>
      <c r="N69" t="str">
        <v/>
      </c>
      <c r="O69" t="str">
        <v/>
      </c>
      <c r="P69" t="str">
        <v/>
      </c>
      <c r="Q69" t="str">
        <v>2026-03-31</v>
      </c>
      <c r="R69" t="str">
        <f>IF(Q69="","","Q"&amp;ROUNDUP(MONTH(Q69)/3,0)&amp;"-"&amp;YEAR(Q69))</f>
        <v>Q1-2026</v>
      </c>
      <c r="S69" t="str">
        <v>Producción</v>
      </c>
      <c r="T69" t="str">
        <v/>
      </c>
      <c r="U69" t="str">
        <v/>
      </c>
      <c r="V69" t="str">
        <v/>
      </c>
      <c r="W69" t="str">
        <v/>
      </c>
      <c r="X69" t="str">
        <v/>
      </c>
      <c r="Y69" t="str">
        <v/>
      </c>
      <c r="Z69" t="str">
        <v/>
      </c>
      <c r="AA69" t="str">
        <v/>
      </c>
      <c r="AB69" t="str">
        <v/>
      </c>
      <c r="AC69" t="str">
        <v>Pasó a produccion en Q1</v>
      </c>
    </row>
    <row r="70">
      <c r="A70" t="str">
        <v>HIST-0069</v>
      </c>
      <c r="B70" t="str">
        <v>D0046</v>
      </c>
      <c r="C70" t="str">
        <v>Neobanco</v>
      </c>
      <c r="D70" t="str">
        <v/>
      </c>
      <c r="E70" t="str">
        <v>Creación</v>
      </c>
      <c r="F70" t="str">
        <v/>
      </c>
      <c r="G70" t="str">
        <v>Ricardo Garmendia</v>
      </c>
      <c r="H70" t="str">
        <v>Jose Seminario</v>
      </c>
      <c r="I70" t="str">
        <v>Alex Guerrero</v>
      </c>
      <c r="J70" t="str">
        <v>Cesar Lama</v>
      </c>
      <c r="K70" t="str">
        <v>Telly Tataje</v>
      </c>
      <c r="L70" t="str">
        <v/>
      </c>
      <c r="M70" t="str">
        <v>2026-06-30</v>
      </c>
      <c r="N70" t="str">
        <v/>
      </c>
      <c r="O70" t="str">
        <v/>
      </c>
      <c r="P70" t="str">
        <v/>
      </c>
      <c r="Q70" t="str">
        <v>2026-03-31</v>
      </c>
      <c r="R70" t="str">
        <f>IF(Q70="","","Q"&amp;ROUNDUP(MONTH(Q70)/3,0)&amp;"-"&amp;YEAR(Q70))</f>
        <v>Q1-2026</v>
      </c>
      <c r="S70" t="str">
        <v>Producción</v>
      </c>
      <c r="T70" t="str">
        <v/>
      </c>
      <c r="U70" t="str">
        <v/>
      </c>
      <c r="V70" t="str">
        <v/>
      </c>
      <c r="W70" t="str">
        <v/>
      </c>
      <c r="X70" t="str">
        <v/>
      </c>
      <c r="Y70" t="str">
        <v/>
      </c>
      <c r="Z70" t="str">
        <v/>
      </c>
      <c r="AA70" t="str">
        <v/>
      </c>
      <c r="AB70" t="str">
        <v/>
      </c>
      <c r="AC70" t="str">
        <v>API PROC en producción entregado en Q1</v>
      </c>
    </row>
    <row r="71">
      <c r="A71" t="str">
        <v>HIST-0070</v>
      </c>
      <c r="B71" t="str">
        <v>D0047</v>
      </c>
      <c r="C71" t="str">
        <v>Neobanco</v>
      </c>
      <c r="D71" t="str">
        <v/>
      </c>
      <c r="E71" t="str">
        <v>Creación</v>
      </c>
      <c r="F71" t="str">
        <v>OP-0035, OP-0036</v>
      </c>
      <c r="G71" t="str">
        <v>Ricardo Garmendia</v>
      </c>
      <c r="H71" t="str">
        <v>Jose Seminario</v>
      </c>
      <c r="I71" t="str">
        <v>Alex Guerrero</v>
      </c>
      <c r="J71" t="str">
        <v>Cesar Lama</v>
      </c>
      <c r="K71" t="str">
        <v>Telly Tataje</v>
      </c>
      <c r="L71" t="str">
        <v>Neobanco</v>
      </c>
      <c r="M71" t="str">
        <v>2026-06-30</v>
      </c>
      <c r="N71" t="str">
        <v/>
      </c>
      <c r="O71" t="str">
        <v/>
      </c>
      <c r="P71" t="str">
        <v/>
      </c>
      <c r="Q71" t="str">
        <v>2026-03-31</v>
      </c>
      <c r="R71" t="str">
        <f>IF(Q71="","","Q"&amp;ROUNDUP(MONTH(Q71)/3,0)&amp;"-"&amp;YEAR(Q71))</f>
        <v>Q1-2026</v>
      </c>
      <c r="S71" t="str">
        <v>Producción</v>
      </c>
      <c r="T71" t="str">
        <v/>
      </c>
      <c r="U71" t="str">
        <v/>
      </c>
      <c r="V71" t="str">
        <v/>
      </c>
      <c r="W71" t="str">
        <v/>
      </c>
      <c r="X71" t="str">
        <v/>
      </c>
      <c r="Y71" t="str">
        <v/>
      </c>
      <c r="Z71" t="str">
        <v/>
      </c>
      <c r="AA71" t="str">
        <v/>
      </c>
      <c r="AB71" t="str">
        <v/>
      </c>
      <c r="AC71" t="str">
        <v>Pasó a produccion en Q1</v>
      </c>
    </row>
    <row r="72">
      <c r="A72" t="str">
        <v>HIST-0071</v>
      </c>
      <c r="B72" t="str">
        <v>D0009</v>
      </c>
      <c r="C72" t="str">
        <v>Neobanco</v>
      </c>
      <c r="D72" t="str">
        <v/>
      </c>
      <c r="E72" t="str">
        <v>Creación</v>
      </c>
      <c r="F72" t="str">
        <v>OP-0037</v>
      </c>
      <c r="G72" t="str">
        <v>Ricardo Garmendia</v>
      </c>
      <c r="H72" t="str">
        <v>Jose Seminario</v>
      </c>
      <c r="I72" t="str">
        <v>Alex Guerrero</v>
      </c>
      <c r="J72" t="str">
        <v>Cesar Lama</v>
      </c>
      <c r="K72" t="str">
        <v>Telly Tataje</v>
      </c>
      <c r="L72" t="str">
        <v>Neobanco</v>
      </c>
      <c r="M72" t="str">
        <v>2026-06-30</v>
      </c>
      <c r="N72" t="str">
        <v/>
      </c>
      <c r="O72" t="str">
        <v/>
      </c>
      <c r="P72" t="str">
        <v/>
      </c>
      <c r="Q72" t="str">
        <v>2026-03-31</v>
      </c>
      <c r="R72" t="str">
        <f>IF(Q72="","","Q"&amp;ROUNDUP(MONTH(Q72)/3,0)&amp;"-"&amp;YEAR(Q72))</f>
        <v>Q1-2026</v>
      </c>
      <c r="S72" t="str">
        <v>Producción</v>
      </c>
      <c r="T72" t="str">
        <v/>
      </c>
      <c r="U72" t="str">
        <v/>
      </c>
      <c r="V72" t="str">
        <v/>
      </c>
      <c r="W72" t="str">
        <v/>
      </c>
      <c r="X72" t="str">
        <v/>
      </c>
      <c r="Y72" t="str">
        <v/>
      </c>
      <c r="Z72" t="str">
        <v/>
      </c>
      <c r="AA72" t="str">
        <v/>
      </c>
      <c r="AB72" t="str">
        <v/>
      </c>
      <c r="AC72" t="str">
        <v>Pasó a produccion en Q1</v>
      </c>
    </row>
    <row r="73">
      <c r="A73" t="str">
        <v>HIST-0072</v>
      </c>
      <c r="B73" t="str">
        <v>D0003</v>
      </c>
      <c r="C73" t="str">
        <v>Neobanco</v>
      </c>
      <c r="D73" t="str">
        <v/>
      </c>
      <c r="E73" t="str">
        <v>Creación</v>
      </c>
      <c r="F73" t="str">
        <v>OP-0019</v>
      </c>
      <c r="G73" t="str">
        <v>Ricardo Garmendia</v>
      </c>
      <c r="H73" t="str">
        <v>Jose Seminario</v>
      </c>
      <c r="I73" t="str">
        <v>Alex Guerrero</v>
      </c>
      <c r="J73" t="str">
        <v>Cesar Lama</v>
      </c>
      <c r="K73" t="str">
        <v>Telly Tataje</v>
      </c>
      <c r="L73" t="str">
        <v>Neobanco</v>
      </c>
      <c r="M73" t="str">
        <v>2026-06-30</v>
      </c>
      <c r="N73" t="str">
        <v/>
      </c>
      <c r="O73" t="str">
        <v/>
      </c>
      <c r="P73" t="str">
        <v/>
      </c>
      <c r="Q73" t="str">
        <v>2026-03-31</v>
      </c>
      <c r="R73" t="str">
        <f>IF(Q73="","","Q"&amp;ROUNDUP(MONTH(Q73)/3,0)&amp;"-"&amp;YEAR(Q73))</f>
        <v>Q1-2026</v>
      </c>
      <c r="S73" t="str">
        <v>Producción</v>
      </c>
      <c r="T73" t="str">
        <v/>
      </c>
      <c r="U73" t="str">
        <v/>
      </c>
      <c r="V73" t="str">
        <v/>
      </c>
      <c r="W73" t="str">
        <v/>
      </c>
      <c r="X73" t="str">
        <v/>
      </c>
      <c r="Y73" t="str">
        <v/>
      </c>
      <c r="Z73" t="str">
        <v/>
      </c>
      <c r="AA73" t="str">
        <v/>
      </c>
      <c r="AB73" t="str">
        <v/>
      </c>
      <c r="AC73" t="str">
        <v>Pasó a produccion en Q1</v>
      </c>
    </row>
    <row r="74">
      <c r="A74" t="str">
        <v>HIST-0073</v>
      </c>
      <c r="B74" t="str">
        <v>D0019</v>
      </c>
      <c r="C74" t="str">
        <v>Neobanco</v>
      </c>
      <c r="D74" t="str">
        <v/>
      </c>
      <c r="E74" t="str">
        <v>Creación</v>
      </c>
      <c r="F74" t="str">
        <v>OP-0039, OP-0040</v>
      </c>
      <c r="G74" t="str">
        <v>Ricardo Garmendia</v>
      </c>
      <c r="H74" t="str">
        <v>Jose Seminario</v>
      </c>
      <c r="I74" t="str">
        <v>Alex Guerrero</v>
      </c>
      <c r="J74" t="str">
        <v>Cesar Lama</v>
      </c>
      <c r="K74" t="str">
        <v>Telly Tataje</v>
      </c>
      <c r="L74" t="str">
        <v>Neobanco</v>
      </c>
      <c r="M74" t="str">
        <v>2026-06-30</v>
      </c>
      <c r="N74" t="str">
        <v/>
      </c>
      <c r="O74" t="str">
        <v/>
      </c>
      <c r="P74" t="str">
        <v/>
      </c>
      <c r="Q74" t="str">
        <v>2026-03-31</v>
      </c>
      <c r="R74" t="str">
        <f>IF(Q74="","","Q"&amp;ROUNDUP(MONTH(Q74)/3,0)&amp;"-"&amp;YEAR(Q74))</f>
        <v>Q1-2026</v>
      </c>
      <c r="S74" t="str">
        <v>Producción</v>
      </c>
      <c r="T74" t="str">
        <v/>
      </c>
      <c r="U74" t="str">
        <v/>
      </c>
      <c r="V74" t="str">
        <v/>
      </c>
      <c r="W74" t="str">
        <v/>
      </c>
      <c r="X74" t="str">
        <v/>
      </c>
      <c r="Y74" t="str">
        <v/>
      </c>
      <c r="Z74" t="str">
        <v/>
      </c>
      <c r="AA74" t="str">
        <v/>
      </c>
      <c r="AB74" t="str">
        <v/>
      </c>
      <c r="AC74" t="str">
        <v>Pasó a produccion en Q1</v>
      </c>
    </row>
    <row r="75">
      <c r="A75" t="str">
        <v>HIST-0074</v>
      </c>
      <c r="B75" t="str">
        <v>D0015</v>
      </c>
      <c r="C75" t="str">
        <v>Neobanco</v>
      </c>
      <c r="D75" t="str">
        <v/>
      </c>
      <c r="E75" t="str">
        <v>Creación</v>
      </c>
      <c r="F75" t="str">
        <v>OP-0041, OP-0042</v>
      </c>
      <c r="G75" t="str">
        <v>Ricardo Garmendia</v>
      </c>
      <c r="H75" t="str">
        <v>Jose Seminario</v>
      </c>
      <c r="I75" t="str">
        <v>Diana Martinez</v>
      </c>
      <c r="J75" t="str">
        <v>Diana Martinez</v>
      </c>
      <c r="K75" t="str">
        <v>Telly Tataje</v>
      </c>
      <c r="L75" t="str">
        <v>Neobanco</v>
      </c>
      <c r="M75" t="str">
        <v>2026-06-30</v>
      </c>
      <c r="N75" t="str">
        <v/>
      </c>
      <c r="O75" t="str">
        <v/>
      </c>
      <c r="P75" t="str">
        <v/>
      </c>
      <c r="Q75" t="str">
        <v>2026-04-30</v>
      </c>
      <c r="R75" t="str">
        <f>IF(Q75="","","Q"&amp;ROUNDUP(MONTH(Q75)/3,0)&amp;"-"&amp;YEAR(Q75))</f>
        <v>Q2-2026</v>
      </c>
      <c r="S75" t="str">
        <v>Producción</v>
      </c>
      <c r="T75" t="str">
        <v/>
      </c>
      <c r="U75" t="str">
        <v/>
      </c>
      <c r="V75" t="str">
        <v/>
      </c>
      <c r="W75" t="str">
        <v/>
      </c>
      <c r="X75" t="str">
        <v/>
      </c>
      <c r="Y75" t="str">
        <v/>
      </c>
      <c r="Z75" t="str">
        <v/>
      </c>
      <c r="AA75" t="str">
        <v/>
      </c>
      <c r="AB75" t="str">
        <v/>
      </c>
      <c r="AC75" t="str">
        <v>Pasó a produccion en Q2</v>
      </c>
    </row>
    <row r="76">
      <c r="A76" t="str">
        <v>HIST-0075</v>
      </c>
      <c r="B76" t="str">
        <v>D0032</v>
      </c>
      <c r="C76" t="str">
        <v>Neobanco</v>
      </c>
      <c r="D76" t="str">
        <v/>
      </c>
      <c r="E76" t="str">
        <v>Creación</v>
      </c>
      <c r="F76" t="str">
        <v>OP-0043</v>
      </c>
      <c r="G76" t="str">
        <v>Ricardo Garmendia</v>
      </c>
      <c r="H76" t="str">
        <v>Jose Seminario</v>
      </c>
      <c r="I76" t="str">
        <v>Diana Martinez</v>
      </c>
      <c r="J76" t="str">
        <v>Diana Martinez</v>
      </c>
      <c r="K76" t="str">
        <v>Telly Tataje</v>
      </c>
      <c r="L76" t="str">
        <v>Neobanco</v>
      </c>
      <c r="M76" t="str">
        <v>2026-06-30</v>
      </c>
      <c r="N76" t="str">
        <v/>
      </c>
      <c r="O76" t="str">
        <v/>
      </c>
      <c r="P76" t="str">
        <v/>
      </c>
      <c r="Q76" t="str">
        <v/>
      </c>
      <c r="R76" t="str">
        <f>IF(Q76="","","Q"&amp;ROUNDUP(MONTH(Q76)/3,0)&amp;"-"&amp;YEAR(Q76))</f>
        <v/>
      </c>
      <c r="S76" t="str">
        <v>Identificado</v>
      </c>
      <c r="T76" t="str">
        <v/>
      </c>
      <c r="U76" t="str">
        <v/>
      </c>
      <c r="V76" t="str">
        <v/>
      </c>
      <c r="W76" t="str">
        <v/>
      </c>
      <c r="X76" t="str">
        <v/>
      </c>
      <c r="Y76" t="str">
        <v/>
      </c>
      <c r="Z76" t="str">
        <v/>
      </c>
      <c r="AA76" t="str">
        <v/>
      </c>
      <c r="AB76" t="str">
        <v/>
      </c>
      <c r="AC76" t="str">
        <v>Desestimado en Neobanco, lo verá el proyecto Fraudes</v>
      </c>
    </row>
    <row r="77">
      <c r="A77" t="str">
        <v>HIST-0076</v>
      </c>
      <c r="B77" t="str">
        <v>D0048</v>
      </c>
      <c r="C77" t="str">
        <v>Neobanco</v>
      </c>
      <c r="D77" t="str">
        <v/>
      </c>
      <c r="E77" t="str">
        <v>Creación</v>
      </c>
      <c r="F77" t="str">
        <v/>
      </c>
      <c r="G77" t="str">
        <v>Ricardo Garmendia</v>
      </c>
      <c r="H77" t="str">
        <v>Jose Seminario</v>
      </c>
      <c r="I77" t="str">
        <v>Alex Guerrero</v>
      </c>
      <c r="J77" t="str">
        <v>Cesar Lama</v>
      </c>
      <c r="K77" t="str">
        <v>Telly Tataje</v>
      </c>
      <c r="L77" t="str">
        <v/>
      </c>
      <c r="M77" t="str">
        <v>2026-06-30</v>
      </c>
      <c r="N77" t="str">
        <v/>
      </c>
      <c r="O77" t="str">
        <v/>
      </c>
      <c r="P77" t="str">
        <v/>
      </c>
      <c r="Q77" t="str">
        <v>2026-03-31</v>
      </c>
      <c r="R77" t="str">
        <f>IF(Q77="","","Q"&amp;ROUNDUP(MONTH(Q77)/3,0)&amp;"-"&amp;YEAR(Q77))</f>
        <v>Q1-2026</v>
      </c>
      <c r="S77" t="str">
        <v>Producción</v>
      </c>
      <c r="T77" t="str">
        <v/>
      </c>
      <c r="U77" t="str">
        <v/>
      </c>
      <c r="V77" t="str">
        <v/>
      </c>
      <c r="W77" t="str">
        <v/>
      </c>
      <c r="X77" t="str">
        <v/>
      </c>
      <c r="Y77" t="str">
        <v/>
      </c>
      <c r="Z77" t="str">
        <v/>
      </c>
      <c r="AA77" t="str">
        <v/>
      </c>
      <c r="AB77" t="str">
        <v/>
      </c>
      <c r="AC77" t="str">
        <v>API PROC en producción entregado en Q1</v>
      </c>
    </row>
    <row r="78">
      <c r="A78" t="str">
        <v>HIST-0077</v>
      </c>
      <c r="B78" t="str">
        <v>D0039</v>
      </c>
      <c r="C78" t="str">
        <v>Neobanco</v>
      </c>
      <c r="D78" t="str">
        <v/>
      </c>
      <c r="E78" t="str">
        <v>Creación</v>
      </c>
      <c r="F78" t="str">
        <v>OP-0044, OP-0045</v>
      </c>
      <c r="G78" t="str">
        <v>Ricardo Garmendia</v>
      </c>
      <c r="H78" t="str">
        <v>Jose Seminario</v>
      </c>
      <c r="I78" t="str">
        <v>Alex Guerrero</v>
      </c>
      <c r="J78" t="str">
        <v>Cesar Lama</v>
      </c>
      <c r="K78" t="str">
        <v>Telly Tataje</v>
      </c>
      <c r="L78" t="str">
        <v>Neobanco</v>
      </c>
      <c r="M78" t="str">
        <v>2026-06-30</v>
      </c>
      <c r="N78" t="str">
        <v/>
      </c>
      <c r="O78" t="str">
        <v/>
      </c>
      <c r="P78" t="str">
        <v/>
      </c>
      <c r="Q78" t="str">
        <v>2026-03-31</v>
      </c>
      <c r="R78" t="str">
        <f>IF(Q78="","","Q"&amp;ROUNDUP(MONTH(Q78)/3,0)&amp;"-"&amp;YEAR(Q78))</f>
        <v>Q1-2026</v>
      </c>
      <c r="S78" t="str">
        <v>Producción</v>
      </c>
      <c r="T78" t="str">
        <v/>
      </c>
      <c r="U78" t="str">
        <v/>
      </c>
      <c r="V78" t="str">
        <v/>
      </c>
      <c r="W78" t="str">
        <v/>
      </c>
      <c r="X78" t="str">
        <v/>
      </c>
      <c r="Y78" t="str">
        <v/>
      </c>
      <c r="Z78" t="str">
        <v/>
      </c>
      <c r="AA78" t="str">
        <v/>
      </c>
      <c r="AB78" t="str">
        <v/>
      </c>
      <c r="AC78" t="str">
        <v>Pasó a produccion en Q1</v>
      </c>
    </row>
    <row r="79">
      <c r="A79" t="str">
        <v>HIST-0078</v>
      </c>
      <c r="B79" t="str">
        <v>D0006</v>
      </c>
      <c r="C79" t="str">
        <v>Neobanco</v>
      </c>
      <c r="D79" t="str">
        <v/>
      </c>
      <c r="E79" t="str">
        <v>Creación</v>
      </c>
      <c r="F79" t="str">
        <v>OP-0046, OP-0047</v>
      </c>
      <c r="G79" t="str">
        <v>Ricardo Garmendia</v>
      </c>
      <c r="H79" t="str">
        <v>Jose Seminario</v>
      </c>
      <c r="I79" t="str">
        <v>Alex Guerrero</v>
      </c>
      <c r="J79" t="str">
        <v>Cesar Lama</v>
      </c>
      <c r="K79" t="str">
        <v>Telly Tataje</v>
      </c>
      <c r="L79" t="str">
        <v>Neobanco</v>
      </c>
      <c r="M79" t="str">
        <v>2026-06-30</v>
      </c>
      <c r="N79" t="str">
        <v/>
      </c>
      <c r="O79" t="str">
        <v/>
      </c>
      <c r="P79" t="str">
        <v/>
      </c>
      <c r="Q79" t="str">
        <v>2026-03-31</v>
      </c>
      <c r="R79" t="str">
        <f>IF(Q79="","","Q"&amp;ROUNDUP(MONTH(Q79)/3,0)&amp;"-"&amp;YEAR(Q79))</f>
        <v>Q1-2026</v>
      </c>
      <c r="S79" t="str">
        <v>Producción</v>
      </c>
      <c r="T79" t="str">
        <v/>
      </c>
      <c r="U79" t="str">
        <v/>
      </c>
      <c r="V79" t="str">
        <v/>
      </c>
      <c r="W79" t="str">
        <v/>
      </c>
      <c r="X79" t="str">
        <v/>
      </c>
      <c r="Y79" t="str">
        <v/>
      </c>
      <c r="Z79" t="str">
        <v/>
      </c>
      <c r="AA79" t="str">
        <v/>
      </c>
      <c r="AB79" t="str">
        <v/>
      </c>
      <c r="AC79" t="str">
        <v>Pasó a produccion en Q1</v>
      </c>
    </row>
    <row r="80">
      <c r="A80" t="str">
        <v>HIST-0079</v>
      </c>
      <c r="B80" t="str">
        <v>D0049</v>
      </c>
      <c r="C80" t="str">
        <v>Neobanco</v>
      </c>
      <c r="D80" t="str">
        <v/>
      </c>
      <c r="E80" t="str">
        <v>Creación</v>
      </c>
      <c r="F80" t="str">
        <v/>
      </c>
      <c r="G80" t="str">
        <v>Ricardo Garmendia</v>
      </c>
      <c r="H80" t="str">
        <v>Jose Seminario</v>
      </c>
      <c r="I80" t="str">
        <v>Alex Guerrero</v>
      </c>
      <c r="J80" t="str">
        <v>Cesar Lama</v>
      </c>
      <c r="K80" t="str">
        <v>Telly Tataje</v>
      </c>
      <c r="L80" t="str">
        <v/>
      </c>
      <c r="M80" t="str">
        <v>2026-06-30</v>
      </c>
      <c r="N80" t="str">
        <v/>
      </c>
      <c r="O80" t="str">
        <v/>
      </c>
      <c r="P80" t="str">
        <v/>
      </c>
      <c r="Q80" t="str">
        <v>2026-03-31</v>
      </c>
      <c r="R80" t="str">
        <f>IF(Q80="","","Q"&amp;ROUNDUP(MONTH(Q80)/3,0)&amp;"-"&amp;YEAR(Q80))</f>
        <v>Q1-2026</v>
      </c>
      <c r="S80" t="str">
        <v>Producción</v>
      </c>
      <c r="T80" t="str">
        <v/>
      </c>
      <c r="U80" t="str">
        <v/>
      </c>
      <c r="V80" t="str">
        <v/>
      </c>
      <c r="W80" t="str">
        <v/>
      </c>
      <c r="X80" t="str">
        <v/>
      </c>
      <c r="Y80" t="str">
        <v/>
      </c>
      <c r="Z80" t="str">
        <v/>
      </c>
      <c r="AA80" t="str">
        <v/>
      </c>
      <c r="AB80" t="str">
        <v/>
      </c>
      <c r="AC80" t="str">
        <v>API PROC en producción entregado en Q1</v>
      </c>
    </row>
    <row r="81">
      <c r="A81" t="str">
        <v>HIST-0080</v>
      </c>
      <c r="B81" t="str">
        <v>D0024</v>
      </c>
      <c r="C81" t="str">
        <v>Neobanco</v>
      </c>
      <c r="D81" t="str">
        <v/>
      </c>
      <c r="E81" t="str">
        <v>Creación</v>
      </c>
      <c r="F81" t="str">
        <v>OP-0048, OP-0049</v>
      </c>
      <c r="G81" t="str">
        <v>Ricardo Garmendia</v>
      </c>
      <c r="H81" t="str">
        <v>Jose Seminario</v>
      </c>
      <c r="I81" t="str">
        <v>Diana Martinez</v>
      </c>
      <c r="J81" t="str">
        <v>Diana Martinez</v>
      </c>
      <c r="K81" t="str">
        <v>Telly Tataje</v>
      </c>
      <c r="L81" t="str">
        <v>Neobanco</v>
      </c>
      <c r="M81" t="str">
        <v>2026-06-30</v>
      </c>
      <c r="N81" t="str">
        <v/>
      </c>
      <c r="O81" t="str">
        <v/>
      </c>
      <c r="P81" t="str">
        <v/>
      </c>
      <c r="Q81" t="str">
        <v>2026-04-30</v>
      </c>
      <c r="R81" t="str">
        <f>IF(Q81="","","Q"&amp;ROUNDUP(MONTH(Q81)/3,0)&amp;"-"&amp;YEAR(Q81))</f>
        <v>Q2-2026</v>
      </c>
      <c r="S81" t="str">
        <v>Producción</v>
      </c>
      <c r="T81" t="str">
        <v/>
      </c>
      <c r="U81" t="str">
        <v/>
      </c>
      <c r="V81" t="str">
        <v/>
      </c>
      <c r="W81" t="str">
        <v/>
      </c>
      <c r="X81" t="str">
        <v/>
      </c>
      <c r="Y81" t="str">
        <v/>
      </c>
      <c r="Z81" t="str">
        <v>2026-07-21</v>
      </c>
      <c r="AA81" t="str">
        <v/>
      </c>
      <c r="AB81" t="str">
        <v/>
      </c>
      <c r="AC81" t="str">
        <v>Pasó a produccion en Q2</v>
      </c>
    </row>
    <row r="82">
      <c r="A82" t="str">
        <v>HIST-0081</v>
      </c>
      <c r="B82" t="str">
        <v>D0007</v>
      </c>
      <c r="C82" t="str">
        <v>Neobanco</v>
      </c>
      <c r="D82" t="str">
        <v/>
      </c>
      <c r="E82" t="str">
        <v>Creación</v>
      </c>
      <c r="F82" t="str">
        <v>OP-0050</v>
      </c>
      <c r="G82" t="str">
        <v>Ricardo Garmendia</v>
      </c>
      <c r="H82" t="str">
        <v>Jose Seminario</v>
      </c>
      <c r="I82" t="str">
        <v>Alex Guerrero</v>
      </c>
      <c r="J82" t="str">
        <v>Cesar Lama</v>
      </c>
      <c r="K82" t="str">
        <v>Telly Tataje</v>
      </c>
      <c r="L82" t="str">
        <v>WhatsApp</v>
      </c>
      <c r="M82" t="str">
        <v>2026-06-30</v>
      </c>
      <c r="N82" t="str">
        <v/>
      </c>
      <c r="O82" t="str">
        <v/>
      </c>
      <c r="P82" t="str">
        <v/>
      </c>
      <c r="Q82" t="str">
        <v>2026-03-31</v>
      </c>
      <c r="R82" t="str">
        <f>IF(Q82="","","Q"&amp;ROUNDUP(MONTH(Q82)/3,0)&amp;"-"&amp;YEAR(Q82))</f>
        <v>Q1-2026</v>
      </c>
      <c r="S82" t="str">
        <v>Producción</v>
      </c>
      <c r="T82" t="str">
        <v/>
      </c>
      <c r="U82" t="str">
        <v/>
      </c>
      <c r="V82" t="str">
        <v/>
      </c>
      <c r="W82" t="str">
        <v/>
      </c>
      <c r="X82" t="str">
        <v/>
      </c>
      <c r="Y82" t="str">
        <v/>
      </c>
      <c r="Z82" t="str">
        <v/>
      </c>
      <c r="AA82" t="str">
        <v/>
      </c>
      <c r="AB82" t="str">
        <v/>
      </c>
      <c r="AC82" t="str">
        <v>Pasó a produccion en Q1</v>
      </c>
    </row>
    <row r="83">
      <c r="A83" t="str">
        <v>HIST-0082</v>
      </c>
      <c r="B83" t="str">
        <v>D0029</v>
      </c>
      <c r="C83" t="str">
        <v>Neobanco</v>
      </c>
      <c r="D83" t="str">
        <v/>
      </c>
      <c r="E83" t="str">
        <v>Creación</v>
      </c>
      <c r="F83" t="str">
        <v>OP-0051</v>
      </c>
      <c r="G83" t="str">
        <v>Ricardo Garmendia</v>
      </c>
      <c r="H83" t="str">
        <v>Jose Seminario</v>
      </c>
      <c r="I83" t="str">
        <v>Alex Guerrero</v>
      </c>
      <c r="J83" t="str">
        <v>Cesar Lama</v>
      </c>
      <c r="K83" t="str">
        <v>Telly Tataje</v>
      </c>
      <c r="L83" t="str">
        <v>Neobanco</v>
      </c>
      <c r="M83" t="str">
        <v>2026-06-30</v>
      </c>
      <c r="N83" t="str">
        <v/>
      </c>
      <c r="O83" t="str">
        <v/>
      </c>
      <c r="P83" t="str">
        <v/>
      </c>
      <c r="Q83" t="str">
        <v>2026-03-31</v>
      </c>
      <c r="R83" t="str">
        <f>IF(Q83="","","Q"&amp;ROUNDUP(MONTH(Q83)/3,0)&amp;"-"&amp;YEAR(Q83))</f>
        <v>Q1-2026</v>
      </c>
      <c r="S83" t="str">
        <v>Producción</v>
      </c>
      <c r="T83" t="str">
        <v/>
      </c>
      <c r="U83" t="str">
        <v/>
      </c>
      <c r="V83" t="str">
        <v/>
      </c>
      <c r="W83" t="str">
        <v/>
      </c>
      <c r="X83" t="str">
        <v/>
      </c>
      <c r="Y83" t="str">
        <v/>
      </c>
      <c r="Z83" t="str">
        <v/>
      </c>
      <c r="AA83" t="str">
        <v/>
      </c>
      <c r="AB83" t="str">
        <v/>
      </c>
      <c r="AC83" t="str">
        <v>Pasó a produccion en Q1</v>
      </c>
    </row>
    <row r="84">
      <c r="A84" t="str">
        <v>HIST-0083</v>
      </c>
      <c r="B84" t="str">
        <v>D0028</v>
      </c>
      <c r="C84" t="str">
        <v>Neobanco</v>
      </c>
      <c r="D84" t="str">
        <v/>
      </c>
      <c r="E84" t="str">
        <v>Creación</v>
      </c>
      <c r="F84" t="str">
        <v>OP-0052</v>
      </c>
      <c r="G84" t="str">
        <v>Ricardo Garmendia</v>
      </c>
      <c r="H84" t="str">
        <v>Jose Seminario</v>
      </c>
      <c r="I84" t="str">
        <v>Alex Guerrero</v>
      </c>
      <c r="J84" t="str">
        <v>Cesar Lama</v>
      </c>
      <c r="K84" t="str">
        <v>Telly Tataje</v>
      </c>
      <c r="L84" t="str">
        <v>Neobanco</v>
      </c>
      <c r="M84" t="str">
        <v>2026-06-30</v>
      </c>
      <c r="N84" t="str">
        <v/>
      </c>
      <c r="O84" t="str">
        <v/>
      </c>
      <c r="P84" t="str">
        <v/>
      </c>
      <c r="Q84" t="str">
        <v>2026-03-31</v>
      </c>
      <c r="R84" t="str">
        <f>IF(Q84="","","Q"&amp;ROUNDUP(MONTH(Q84)/3,0)&amp;"-"&amp;YEAR(Q84))</f>
        <v>Q1-2026</v>
      </c>
      <c r="S84" t="str">
        <v>Producción</v>
      </c>
      <c r="T84" t="str">
        <v/>
      </c>
      <c r="U84" t="str">
        <v/>
      </c>
      <c r="V84" t="str">
        <v/>
      </c>
      <c r="W84" t="str">
        <v/>
      </c>
      <c r="X84" t="str">
        <v/>
      </c>
      <c r="Y84" t="str">
        <v/>
      </c>
      <c r="Z84" t="str">
        <v/>
      </c>
      <c r="AA84" t="str">
        <v/>
      </c>
      <c r="AB84" t="str">
        <v/>
      </c>
      <c r="AC84" t="str">
        <v>Pasó a produccion en Q1</v>
      </c>
    </row>
    <row r="85">
      <c r="A85" t="str">
        <v>HIST-0084</v>
      </c>
      <c r="B85" t="str">
        <v>D0017</v>
      </c>
      <c r="C85" t="str">
        <v>Neobanco</v>
      </c>
      <c r="D85" t="str">
        <v/>
      </c>
      <c r="E85" t="str">
        <v>Creación</v>
      </c>
      <c r="F85" t="str">
        <v>OP-0053, OP-0054, OP-0055</v>
      </c>
      <c r="G85" t="str">
        <v>Ricardo Garmendia</v>
      </c>
      <c r="H85" t="str">
        <v>Jose Seminario</v>
      </c>
      <c r="I85" t="str">
        <v>Alex Guerrero</v>
      </c>
      <c r="J85" t="str">
        <v>Cesar Lama</v>
      </c>
      <c r="K85" t="str">
        <v>Telly Tataje</v>
      </c>
      <c r="L85" t="str">
        <v>Neobanco</v>
      </c>
      <c r="M85" t="str">
        <v>2026-06-30</v>
      </c>
      <c r="N85" t="str">
        <v/>
      </c>
      <c r="O85" t="str">
        <v/>
      </c>
      <c r="P85" t="str">
        <v/>
      </c>
      <c r="Q85" t="str">
        <v>2026-03-31</v>
      </c>
      <c r="R85" t="str">
        <f>IF(Q85="","","Q"&amp;ROUNDUP(MONTH(Q85)/3,0)&amp;"-"&amp;YEAR(Q85))</f>
        <v>Q1-2026</v>
      </c>
      <c r="S85" t="str">
        <v>Producción</v>
      </c>
      <c r="T85" t="str">
        <v/>
      </c>
      <c r="U85" t="str">
        <v/>
      </c>
      <c r="V85" t="str">
        <v/>
      </c>
      <c r="W85" t="str">
        <v/>
      </c>
      <c r="X85" t="str">
        <v/>
      </c>
      <c r="Y85" t="str">
        <v/>
      </c>
      <c r="Z85" t="str">
        <v/>
      </c>
      <c r="AA85" t="str">
        <v/>
      </c>
      <c r="AB85" t="str">
        <v/>
      </c>
      <c r="AC85" t="str">
        <v>Pasó a produccion en Q1</v>
      </c>
    </row>
    <row r="86">
      <c r="A86" t="str">
        <v>HIST-0085</v>
      </c>
      <c r="B86" t="str">
        <v>D0050</v>
      </c>
      <c r="C86" t="str">
        <v>Neobanco</v>
      </c>
      <c r="D86" t="str">
        <v/>
      </c>
      <c r="E86" t="str">
        <v>Creación</v>
      </c>
      <c r="F86" t="str">
        <v/>
      </c>
      <c r="G86" t="str">
        <v>Ricardo Garmendia</v>
      </c>
      <c r="H86" t="str">
        <v>Jose Seminario</v>
      </c>
      <c r="I86" t="str">
        <v>Alex Guerrero</v>
      </c>
      <c r="J86" t="str">
        <v>Cesar Lama</v>
      </c>
      <c r="K86" t="str">
        <v>Telly Tataje</v>
      </c>
      <c r="L86" t="str">
        <v/>
      </c>
      <c r="M86" t="str">
        <v>2026-06-30</v>
      </c>
      <c r="N86" t="str">
        <v/>
      </c>
      <c r="O86" t="str">
        <v/>
      </c>
      <c r="P86" t="str">
        <v/>
      </c>
      <c r="Q86" t="str">
        <v>2026-03-31</v>
      </c>
      <c r="R86" t="str">
        <f>IF(Q86="","","Q"&amp;ROUNDUP(MONTH(Q86)/3,0)&amp;"-"&amp;YEAR(Q86))</f>
        <v>Q1-2026</v>
      </c>
      <c r="S86" t="str">
        <v>Producción</v>
      </c>
      <c r="T86" t="str">
        <v/>
      </c>
      <c r="U86" t="str">
        <v/>
      </c>
      <c r="V86" t="str">
        <v/>
      </c>
      <c r="W86" t="str">
        <v/>
      </c>
      <c r="X86" t="str">
        <v/>
      </c>
      <c r="Y86" t="str">
        <v/>
      </c>
      <c r="Z86" t="str">
        <v/>
      </c>
      <c r="AA86" t="str">
        <v/>
      </c>
      <c r="AB86" t="str">
        <v/>
      </c>
      <c r="AC86" t="str">
        <v>API PROC en producción entregado en Q1</v>
      </c>
    </row>
    <row r="87">
      <c r="A87" t="str">
        <v>HIST-0086</v>
      </c>
      <c r="B87" t="str">
        <v>D0021</v>
      </c>
      <c r="C87" t="str">
        <v>Neobanco</v>
      </c>
      <c r="D87" t="str">
        <v/>
      </c>
      <c r="E87" t="str">
        <v>Creación</v>
      </c>
      <c r="F87" t="str">
        <v>OP-0057, OP-0058</v>
      </c>
      <c r="G87" t="str">
        <v>Ricardo Garmendia</v>
      </c>
      <c r="H87" t="str">
        <v>Jose Seminario</v>
      </c>
      <c r="I87" t="str">
        <v>Alex Guerrero</v>
      </c>
      <c r="J87" t="str">
        <v>Cesar Lama</v>
      </c>
      <c r="K87" t="str">
        <v>Telly Tataje</v>
      </c>
      <c r="L87" t="str">
        <v>Neobanco</v>
      </c>
      <c r="M87" t="str">
        <v>2026-06-30</v>
      </c>
      <c r="N87" t="str">
        <v/>
      </c>
      <c r="O87" t="str">
        <v/>
      </c>
      <c r="P87" t="str">
        <v/>
      </c>
      <c r="Q87" t="str">
        <v>2026-03-31</v>
      </c>
      <c r="R87" t="str">
        <f>IF(Q87="","","Q"&amp;ROUNDUP(MONTH(Q87)/3,0)&amp;"-"&amp;YEAR(Q87))</f>
        <v>Q1-2026</v>
      </c>
      <c r="S87" t="str">
        <v>Producción</v>
      </c>
      <c r="T87" t="str">
        <v/>
      </c>
      <c r="U87" t="str">
        <v/>
      </c>
      <c r="V87" t="str">
        <v/>
      </c>
      <c r="W87" t="str">
        <v/>
      </c>
      <c r="X87" t="str">
        <v/>
      </c>
      <c r="Y87" t="str">
        <v/>
      </c>
      <c r="Z87" t="str">
        <v/>
      </c>
      <c r="AA87" t="str">
        <v/>
      </c>
      <c r="AB87" t="str">
        <v/>
      </c>
      <c r="AC87" t="str">
        <v>Pasó a produccion en Q1</v>
      </c>
    </row>
    <row r="88">
      <c r="A88" t="str">
        <v>HIST-0087</v>
      </c>
      <c r="B88" t="str">
        <v>D0051</v>
      </c>
      <c r="C88" t="str">
        <v>Plataforma de Integración</v>
      </c>
      <c r="D88" t="str">
        <v/>
      </c>
      <c r="E88" t="str">
        <v>Creación</v>
      </c>
      <c r="F88" t="str">
        <v/>
      </c>
      <c r="G88" t="str">
        <v/>
      </c>
      <c r="H88" t="str">
        <v/>
      </c>
      <c r="I88" t="str">
        <v/>
      </c>
      <c r="J88" t="str">
        <v/>
      </c>
      <c r="K88" t="str">
        <v>Edward Aviles Chabur</v>
      </c>
      <c r="L88" t="str">
        <v>App</v>
      </c>
      <c r="M88" t="str">
        <v>2026-03-30</v>
      </c>
      <c r="N88" t="str">
        <v/>
      </c>
      <c r="O88" t="str">
        <v/>
      </c>
      <c r="P88" t="str">
        <v/>
      </c>
      <c r="Q88" t="str">
        <v/>
      </c>
      <c r="R88" t="str">
        <f>IF(Q88="","","Q"&amp;ROUNDUP(MONTH(Q88)/3,0)&amp;"-"&amp;YEAR(Q88))</f>
        <v/>
      </c>
      <c r="S88" t="str">
        <v>Identificado</v>
      </c>
      <c r="T88" t="str">
        <v/>
      </c>
      <c r="U88" t="str">
        <v/>
      </c>
      <c r="V88" t="str">
        <v/>
      </c>
      <c r="W88" t="str">
        <v>Media</v>
      </c>
      <c r="X88" t="str">
        <v/>
      </c>
      <c r="Y88" t="str">
        <v/>
      </c>
      <c r="Z88" t="str">
        <v/>
      </c>
      <c r="AA88" t="str">
        <v/>
      </c>
      <c r="AB88" t="str">
        <v/>
      </c>
      <c r="AC88" t="str">
        <v/>
      </c>
    </row>
    <row r="89">
      <c r="A89" t="str">
        <v>HIST-0088</v>
      </c>
      <c r="B89" t="str">
        <v>D0052</v>
      </c>
      <c r="C89" t="str">
        <v>Plataforma de Integración</v>
      </c>
      <c r="D89" t="str">
        <v/>
      </c>
      <c r="E89" t="str">
        <v>Creación</v>
      </c>
      <c r="F89" t="str">
        <v/>
      </c>
      <c r="G89" t="str">
        <v/>
      </c>
      <c r="H89" t="str">
        <v/>
      </c>
      <c r="I89" t="str">
        <v/>
      </c>
      <c r="J89" t="str">
        <v/>
      </c>
      <c r="K89" t="str">
        <v>Edward Aviles Chabur</v>
      </c>
      <c r="L89" t="str">
        <v>App</v>
      </c>
      <c r="M89" t="str">
        <v>2026-03-30</v>
      </c>
      <c r="N89" t="str">
        <v/>
      </c>
      <c r="O89" t="str">
        <v/>
      </c>
      <c r="P89" t="str">
        <v/>
      </c>
      <c r="Q89" t="str">
        <v/>
      </c>
      <c r="R89" t="str">
        <f>IF(Q89="","","Q"&amp;ROUNDUP(MONTH(Q89)/3,0)&amp;"-"&amp;YEAR(Q89))</f>
        <v/>
      </c>
      <c r="S89" t="str">
        <v>Identificado</v>
      </c>
      <c r="T89" t="str">
        <v/>
      </c>
      <c r="U89" t="str">
        <v/>
      </c>
      <c r="V89" t="str">
        <v/>
      </c>
      <c r="W89" t="str">
        <v>Media</v>
      </c>
      <c r="X89" t="str">
        <v/>
      </c>
      <c r="Y89" t="str">
        <v/>
      </c>
      <c r="Z89" t="str">
        <v/>
      </c>
      <c r="AA89" t="str">
        <v/>
      </c>
      <c r="AB89" t="str">
        <v/>
      </c>
      <c r="AC89" t="str">
        <v/>
      </c>
    </row>
    <row r="90">
      <c r="A90" t="str">
        <v>HIST-0089</v>
      </c>
      <c r="B90" t="str">
        <v>D0053</v>
      </c>
      <c r="C90" t="str">
        <v>Plataforma de Integración</v>
      </c>
      <c r="D90" t="str">
        <v/>
      </c>
      <c r="E90" t="str">
        <v>Creación</v>
      </c>
      <c r="F90" t="str">
        <v/>
      </c>
      <c r="G90" t="str">
        <v/>
      </c>
      <c r="H90" t="str">
        <v/>
      </c>
      <c r="I90" t="str">
        <v/>
      </c>
      <c r="J90" t="str">
        <v/>
      </c>
      <c r="K90" t="str">
        <v>Edward Aviles Chabur</v>
      </c>
      <c r="L90" t="str">
        <v>App</v>
      </c>
      <c r="M90" t="str">
        <v>2026-03-30</v>
      </c>
      <c r="N90" t="str">
        <v/>
      </c>
      <c r="O90" t="str">
        <v/>
      </c>
      <c r="P90" t="str">
        <v/>
      </c>
      <c r="Q90" t="str">
        <v/>
      </c>
      <c r="R90" t="str">
        <f>IF(Q90="","","Q"&amp;ROUNDUP(MONTH(Q90)/3,0)&amp;"-"&amp;YEAR(Q90))</f>
        <v/>
      </c>
      <c r="S90" t="str">
        <v>Identificado</v>
      </c>
      <c r="T90" t="str">
        <v/>
      </c>
      <c r="U90" t="str">
        <v/>
      </c>
      <c r="V90" t="str">
        <v/>
      </c>
      <c r="W90" t="str">
        <v>Media</v>
      </c>
      <c r="X90" t="str">
        <v/>
      </c>
      <c r="Y90" t="str">
        <v/>
      </c>
      <c r="Z90" t="str">
        <v/>
      </c>
      <c r="AA90" t="str">
        <v/>
      </c>
      <c r="AB90" t="str">
        <v/>
      </c>
      <c r="AC90" t="str">
        <v/>
      </c>
    </row>
    <row r="91">
      <c r="A91" t="str">
        <v>HIST-0090</v>
      </c>
      <c r="B91" t="str">
        <v>D0054</v>
      </c>
      <c r="C91" t="str">
        <v>Plataforma de Integración</v>
      </c>
      <c r="D91" t="str">
        <v/>
      </c>
      <c r="E91" t="str">
        <v>Creación</v>
      </c>
      <c r="F91" t="str">
        <v/>
      </c>
      <c r="G91" t="str">
        <v/>
      </c>
      <c r="H91" t="str">
        <v/>
      </c>
      <c r="I91" t="str">
        <v/>
      </c>
      <c r="J91" t="str">
        <v/>
      </c>
      <c r="K91" t="str">
        <v>Edward Aviles Chabur</v>
      </c>
      <c r="L91" t="str">
        <v>App</v>
      </c>
      <c r="M91" t="str">
        <v>2026-04-15</v>
      </c>
      <c r="N91" t="str">
        <v/>
      </c>
      <c r="O91" t="str">
        <v/>
      </c>
      <c r="P91" t="str">
        <v/>
      </c>
      <c r="Q91" t="str">
        <v/>
      </c>
      <c r="R91" t="str">
        <f>IF(Q91="","","Q"&amp;ROUNDUP(MONTH(Q91)/3,0)&amp;"-"&amp;YEAR(Q91))</f>
        <v/>
      </c>
      <c r="S91" t="str">
        <v>Diseño</v>
      </c>
      <c r="T91" t="str">
        <v/>
      </c>
      <c r="U91" t="str">
        <v/>
      </c>
      <c r="V91" t="str">
        <v/>
      </c>
      <c r="W91" t="str">
        <v>Baja</v>
      </c>
      <c r="X91" t="str">
        <v/>
      </c>
      <c r="Y91" t="str">
        <v/>
      </c>
      <c r="Z91" t="str">
        <v/>
      </c>
      <c r="AA91" t="str">
        <v/>
      </c>
      <c r="AB91" t="str">
        <v/>
      </c>
      <c r="AC91" t="str">
        <v/>
      </c>
    </row>
    <row r="92">
      <c r="A92" t="str">
        <v>HIST-0091</v>
      </c>
      <c r="B92" t="str">
        <v>D0055</v>
      </c>
      <c r="C92" t="str">
        <v>Plataforma de Integración</v>
      </c>
      <c r="D92" t="str">
        <v/>
      </c>
      <c r="E92" t="str">
        <v>Creación</v>
      </c>
      <c r="F92" t="str">
        <v/>
      </c>
      <c r="G92" t="str">
        <v/>
      </c>
      <c r="H92" t="str">
        <v/>
      </c>
      <c r="I92" t="str">
        <v/>
      </c>
      <c r="J92" t="str">
        <v/>
      </c>
      <c r="K92" t="str">
        <v>Edward Aviles Chabur</v>
      </c>
      <c r="L92" t="str">
        <v>App</v>
      </c>
      <c r="M92" t="str">
        <v>2026-04-15</v>
      </c>
      <c r="N92" t="str">
        <v/>
      </c>
      <c r="O92" t="str">
        <v/>
      </c>
      <c r="P92" t="str">
        <v/>
      </c>
      <c r="Q92" t="str">
        <v/>
      </c>
      <c r="R92" t="str">
        <f>IF(Q92="","","Q"&amp;ROUNDUP(MONTH(Q92)/3,0)&amp;"-"&amp;YEAR(Q92))</f>
        <v/>
      </c>
      <c r="S92" t="str">
        <v>Diseño</v>
      </c>
      <c r="T92" t="str">
        <v/>
      </c>
      <c r="U92" t="str">
        <v/>
      </c>
      <c r="V92" t="str">
        <v/>
      </c>
      <c r="W92" t="str">
        <v>Baja</v>
      </c>
      <c r="X92" t="str">
        <v/>
      </c>
      <c r="Y92" t="str">
        <v/>
      </c>
      <c r="Z92" t="str">
        <v/>
      </c>
      <c r="AA92" t="str">
        <v/>
      </c>
      <c r="AB92" t="str">
        <v/>
      </c>
      <c r="AC92" t="str">
        <v/>
      </c>
    </row>
    <row r="93">
      <c r="A93" t="str">
        <v>HIST-0092</v>
      </c>
      <c r="B93" t="str">
        <v>D0056</v>
      </c>
      <c r="C93" t="str">
        <v>Plataforma de Integración</v>
      </c>
      <c r="D93" t="str">
        <v/>
      </c>
      <c r="E93" t="str">
        <v>Creación</v>
      </c>
      <c r="F93" t="str">
        <v/>
      </c>
      <c r="G93" t="str">
        <v/>
      </c>
      <c r="H93" t="str">
        <v/>
      </c>
      <c r="I93" t="str">
        <v/>
      </c>
      <c r="J93" t="str">
        <v/>
      </c>
      <c r="K93" t="str">
        <v>Edward Aviles Chabur</v>
      </c>
      <c r="L93" t="str">
        <v>App</v>
      </c>
      <c r="M93" t="str">
        <v>2026-04-15</v>
      </c>
      <c r="N93" t="str">
        <v/>
      </c>
      <c r="O93" t="str">
        <v/>
      </c>
      <c r="P93" t="str">
        <v/>
      </c>
      <c r="Q93" t="str">
        <v/>
      </c>
      <c r="R93" t="str">
        <f>IF(Q93="","","Q"&amp;ROUNDUP(MONTH(Q93)/3,0)&amp;"-"&amp;YEAR(Q93))</f>
        <v/>
      </c>
      <c r="S93" t="str">
        <v>Diseño</v>
      </c>
      <c r="T93" t="str">
        <v/>
      </c>
      <c r="U93" t="str">
        <v/>
      </c>
      <c r="V93" t="str">
        <v/>
      </c>
      <c r="W93" t="str">
        <v>Baja</v>
      </c>
      <c r="X93" t="str">
        <v/>
      </c>
      <c r="Y93" t="str">
        <v/>
      </c>
      <c r="Z93" t="str">
        <v/>
      </c>
      <c r="AA93" t="str">
        <v/>
      </c>
      <c r="AB93" t="str">
        <v/>
      </c>
      <c r="AC93" t="str">
        <v/>
      </c>
    </row>
    <row r="94">
      <c r="A94" t="str">
        <v>HIST-0093</v>
      </c>
      <c r="B94" t="str">
        <v>D0057</v>
      </c>
      <c r="C94" t="str">
        <v>Plataforma de Integración</v>
      </c>
      <c r="D94" t="str">
        <v/>
      </c>
      <c r="E94" t="str">
        <v>Creación</v>
      </c>
      <c r="F94" t="str">
        <v/>
      </c>
      <c r="G94" t="str">
        <v/>
      </c>
      <c r="H94" t="str">
        <v/>
      </c>
      <c r="I94" t="str">
        <v/>
      </c>
      <c r="J94" t="str">
        <v/>
      </c>
      <c r="K94" t="str">
        <v>Edward Aviles Chabur</v>
      </c>
      <c r="L94" t="str">
        <v>App</v>
      </c>
      <c r="M94" t="str">
        <v>2026-04-15</v>
      </c>
      <c r="N94" t="str">
        <v/>
      </c>
      <c r="O94" t="str">
        <v/>
      </c>
      <c r="P94" t="str">
        <v/>
      </c>
      <c r="Q94" t="str">
        <v/>
      </c>
      <c r="R94" t="str">
        <f>IF(Q94="","","Q"&amp;ROUNDUP(MONTH(Q94)/3,0)&amp;"-"&amp;YEAR(Q94))</f>
        <v/>
      </c>
      <c r="S94" t="str">
        <v>Diseño</v>
      </c>
      <c r="T94" t="str">
        <v/>
      </c>
      <c r="U94" t="str">
        <v/>
      </c>
      <c r="V94" t="str">
        <v/>
      </c>
      <c r="W94" t="str">
        <v>Baja</v>
      </c>
      <c r="X94" t="str">
        <v/>
      </c>
      <c r="Y94" t="str">
        <v/>
      </c>
      <c r="Z94" t="str">
        <v/>
      </c>
      <c r="AA94" t="str">
        <v/>
      </c>
      <c r="AB94" t="str">
        <v/>
      </c>
      <c r="AC94" t="str">
        <v/>
      </c>
    </row>
    <row r="95">
      <c r="A95" t="str">
        <v>HIST-0094</v>
      </c>
      <c r="B95" t="str">
        <v>D0058</v>
      </c>
      <c r="C95" t="str">
        <v>Plataforma de Integración</v>
      </c>
      <c r="D95" t="str">
        <v/>
      </c>
      <c r="E95" t="str">
        <v>Creación</v>
      </c>
      <c r="F95" t="str">
        <v/>
      </c>
      <c r="G95" t="str">
        <v/>
      </c>
      <c r="H95" t="str">
        <v/>
      </c>
      <c r="I95" t="str">
        <v/>
      </c>
      <c r="J95" t="str">
        <v/>
      </c>
      <c r="K95" t="str">
        <v>Edward Aviles Chabur</v>
      </c>
      <c r="L95" t="str">
        <v>App</v>
      </c>
      <c r="M95" t="str">
        <v>2026-04-15</v>
      </c>
      <c r="N95" t="str">
        <v/>
      </c>
      <c r="O95" t="str">
        <v/>
      </c>
      <c r="P95" t="str">
        <v/>
      </c>
      <c r="Q95" t="str">
        <v/>
      </c>
      <c r="R95" t="str">
        <f>IF(Q95="","","Q"&amp;ROUNDUP(MONTH(Q95)/3,0)&amp;"-"&amp;YEAR(Q95))</f>
        <v/>
      </c>
      <c r="S95" t="str">
        <v>Diseño</v>
      </c>
      <c r="T95" t="str">
        <v/>
      </c>
      <c r="U95" t="str">
        <v/>
      </c>
      <c r="V95" t="str">
        <v/>
      </c>
      <c r="W95" t="str">
        <v>Baja</v>
      </c>
      <c r="X95" t="str">
        <v/>
      </c>
      <c r="Y95" t="str">
        <v/>
      </c>
      <c r="Z95" t="str">
        <v/>
      </c>
      <c r="AA95" t="str">
        <v/>
      </c>
      <c r="AB95" t="str">
        <v/>
      </c>
      <c r="AC95" t="str">
        <v/>
      </c>
    </row>
    <row r="96">
      <c r="A96" t="str">
        <v>HIST-0095</v>
      </c>
      <c r="B96" t="str">
        <v>D0059</v>
      </c>
      <c r="C96" t="str">
        <v>Plataforma de Integración</v>
      </c>
      <c r="D96" t="str">
        <v/>
      </c>
      <c r="E96" t="str">
        <v>Creación</v>
      </c>
      <c r="F96" t="str">
        <v/>
      </c>
      <c r="G96" t="str">
        <v/>
      </c>
      <c r="H96" t="str">
        <v/>
      </c>
      <c r="I96" t="str">
        <v/>
      </c>
      <c r="J96" t="str">
        <v/>
      </c>
      <c r="K96" t="str">
        <v>Edward Aviles Chabur</v>
      </c>
      <c r="L96" t="str">
        <v>App</v>
      </c>
      <c r="M96" t="str">
        <v>2026-03-30</v>
      </c>
      <c r="N96" t="str">
        <v/>
      </c>
      <c r="O96" t="str">
        <v/>
      </c>
      <c r="P96" t="str">
        <v/>
      </c>
      <c r="Q96" t="str">
        <v/>
      </c>
      <c r="R96" t="str">
        <f>IF(Q96="","","Q"&amp;ROUNDUP(MONTH(Q96)/3,0)&amp;"-"&amp;YEAR(Q96))</f>
        <v/>
      </c>
      <c r="S96" t="str">
        <v>Identificado</v>
      </c>
      <c r="T96" t="str">
        <v/>
      </c>
      <c r="U96" t="str">
        <v/>
      </c>
      <c r="V96" t="str">
        <v/>
      </c>
      <c r="W96" t="str">
        <v>Media</v>
      </c>
      <c r="X96" t="str">
        <v/>
      </c>
      <c r="Y96" t="str">
        <v/>
      </c>
      <c r="Z96" t="str">
        <v/>
      </c>
      <c r="AA96" t="str">
        <v/>
      </c>
      <c r="AB96" t="str">
        <v/>
      </c>
      <c r="AC96" t="str">
        <v/>
      </c>
    </row>
    <row r="97">
      <c r="A97" t="str">
        <v>HIST-0096</v>
      </c>
      <c r="B97" t="str">
        <v>D0060</v>
      </c>
      <c r="C97" t="str">
        <v>Plataforma de Integración</v>
      </c>
      <c r="D97" t="str">
        <v/>
      </c>
      <c r="E97" t="str">
        <v>Creación</v>
      </c>
      <c r="F97" t="str">
        <v/>
      </c>
      <c r="G97" t="str">
        <v/>
      </c>
      <c r="H97" t="str">
        <v/>
      </c>
      <c r="I97" t="str">
        <v/>
      </c>
      <c r="J97" t="str">
        <v/>
      </c>
      <c r="K97" t="str">
        <v>Edward Aviles Chabur</v>
      </c>
      <c r="L97" t="str">
        <v>App</v>
      </c>
      <c r="M97" t="str">
        <v>2026-03-30</v>
      </c>
      <c r="N97" t="str">
        <v/>
      </c>
      <c r="O97" t="str">
        <v/>
      </c>
      <c r="P97" t="str">
        <v/>
      </c>
      <c r="Q97" t="str">
        <v/>
      </c>
      <c r="R97" t="str">
        <f>IF(Q97="","","Q"&amp;ROUNDUP(MONTH(Q97)/3,0)&amp;"-"&amp;YEAR(Q97))</f>
        <v/>
      </c>
      <c r="S97" t="str">
        <v>Identificado</v>
      </c>
      <c r="T97" t="str">
        <v/>
      </c>
      <c r="U97" t="str">
        <v/>
      </c>
      <c r="V97" t="str">
        <v/>
      </c>
      <c r="W97" t="str">
        <v>Media</v>
      </c>
      <c r="X97" t="str">
        <v/>
      </c>
      <c r="Y97" t="str">
        <v/>
      </c>
      <c r="Z97" t="str">
        <v/>
      </c>
      <c r="AA97" t="str">
        <v/>
      </c>
      <c r="AB97" t="str">
        <v/>
      </c>
      <c r="AC97" t="str">
        <v/>
      </c>
    </row>
    <row r="98">
      <c r="A98" t="str">
        <v>HIST-0097</v>
      </c>
      <c r="B98" t="str">
        <v>D0061</v>
      </c>
      <c r="C98" t="str">
        <v>Plataforma de Integración</v>
      </c>
      <c r="D98" t="str">
        <v/>
      </c>
      <c r="E98" t="str">
        <v>Creación</v>
      </c>
      <c r="F98" t="str">
        <v/>
      </c>
      <c r="G98" t="str">
        <v/>
      </c>
      <c r="H98" t="str">
        <v/>
      </c>
      <c r="I98" t="str">
        <v/>
      </c>
      <c r="J98" t="str">
        <v/>
      </c>
      <c r="K98" t="str">
        <v>Edward Aviles Chabur</v>
      </c>
      <c r="L98" t="str">
        <v>App</v>
      </c>
      <c r="M98" t="str">
        <v>2026-03-30</v>
      </c>
      <c r="N98" t="str">
        <v/>
      </c>
      <c r="O98" t="str">
        <v/>
      </c>
      <c r="P98" t="str">
        <v/>
      </c>
      <c r="Q98" t="str">
        <v/>
      </c>
      <c r="R98" t="str">
        <f>IF(Q98="","","Q"&amp;ROUNDUP(MONTH(Q98)/3,0)&amp;"-"&amp;YEAR(Q98))</f>
        <v/>
      </c>
      <c r="S98" t="str">
        <v>Identificado</v>
      </c>
      <c r="T98" t="str">
        <v/>
      </c>
      <c r="U98" t="str">
        <v/>
      </c>
      <c r="V98" t="str">
        <v/>
      </c>
      <c r="W98" t="str">
        <v>Baja</v>
      </c>
      <c r="X98" t="str">
        <v/>
      </c>
      <c r="Y98" t="str">
        <v/>
      </c>
      <c r="Z98" t="str">
        <v/>
      </c>
      <c r="AA98" t="str">
        <v/>
      </c>
      <c r="AB98" t="str">
        <v/>
      </c>
      <c r="AC98" t="str">
        <v/>
      </c>
    </row>
    <row r="99">
      <c r="A99" t="str">
        <v>HIST-0098</v>
      </c>
      <c r="B99" t="str">
        <v>D0062</v>
      </c>
      <c r="C99" t="str">
        <v>Plataforma de Integración</v>
      </c>
      <c r="D99" t="str">
        <v/>
      </c>
      <c r="E99" t="str">
        <v>Creación</v>
      </c>
      <c r="F99" t="str">
        <v/>
      </c>
      <c r="G99" t="str">
        <v/>
      </c>
      <c r="H99" t="str">
        <v/>
      </c>
      <c r="I99" t="str">
        <v/>
      </c>
      <c r="J99" t="str">
        <v/>
      </c>
      <c r="K99" t="str">
        <v>Edward Aviles Chabur</v>
      </c>
      <c r="L99" t="str">
        <v>App</v>
      </c>
      <c r="M99" t="str">
        <v>2026-03-30</v>
      </c>
      <c r="N99" t="str">
        <v/>
      </c>
      <c r="O99" t="str">
        <v/>
      </c>
      <c r="P99" t="str">
        <v/>
      </c>
      <c r="Q99" t="str">
        <v/>
      </c>
      <c r="R99" t="str">
        <f>IF(Q99="","","Q"&amp;ROUNDUP(MONTH(Q99)/3,0)&amp;"-"&amp;YEAR(Q99))</f>
        <v/>
      </c>
      <c r="S99" t="str">
        <v>Identificado</v>
      </c>
      <c r="T99" t="str">
        <v/>
      </c>
      <c r="U99" t="str">
        <v/>
      </c>
      <c r="V99" t="str">
        <v/>
      </c>
      <c r="W99" t="str">
        <v>Media</v>
      </c>
      <c r="X99" t="str">
        <v/>
      </c>
      <c r="Y99" t="str">
        <v/>
      </c>
      <c r="Z99" t="str">
        <v/>
      </c>
      <c r="AA99" t="str">
        <v/>
      </c>
      <c r="AB99" t="str">
        <v/>
      </c>
      <c r="AC99" t="str">
        <v/>
      </c>
    </row>
    <row r="100">
      <c r="A100" t="str">
        <v>HIST-0099</v>
      </c>
      <c r="B100" t="str">
        <v>D0063</v>
      </c>
      <c r="C100" t="str">
        <v>Plataforma de Integración</v>
      </c>
      <c r="D100" t="str">
        <v/>
      </c>
      <c r="E100" t="str">
        <v>Creación</v>
      </c>
      <c r="F100" t="str">
        <v/>
      </c>
      <c r="G100" t="str">
        <v/>
      </c>
      <c r="H100" t="str">
        <v/>
      </c>
      <c r="I100" t="str">
        <v/>
      </c>
      <c r="J100" t="str">
        <v/>
      </c>
      <c r="K100" t="str">
        <v>Edward Aviles Chabur</v>
      </c>
      <c r="L100" t="str">
        <v>App</v>
      </c>
      <c r="M100" t="str">
        <v>2026-04-15</v>
      </c>
      <c r="N100" t="str">
        <v/>
      </c>
      <c r="O100" t="str">
        <v/>
      </c>
      <c r="P100" t="str">
        <v/>
      </c>
      <c r="Q100" t="str">
        <v/>
      </c>
      <c r="R100" t="str">
        <f>IF(Q100="","","Q"&amp;ROUNDUP(MONTH(Q100)/3,0)&amp;"-"&amp;YEAR(Q100))</f>
        <v/>
      </c>
      <c r="S100" t="str">
        <v>Diseño</v>
      </c>
      <c r="T100" t="str">
        <v/>
      </c>
      <c r="U100" t="str">
        <v/>
      </c>
      <c r="V100" t="str">
        <v/>
      </c>
      <c r="W100" t="str">
        <v>Media</v>
      </c>
      <c r="X100" t="str">
        <v/>
      </c>
      <c r="Y100" t="str">
        <v/>
      </c>
      <c r="Z100" t="str">
        <v/>
      </c>
      <c r="AA100" t="str">
        <v/>
      </c>
      <c r="AB100" t="str">
        <v/>
      </c>
      <c r="AC100" t="str">
        <v/>
      </c>
    </row>
    <row r="101">
      <c r="A101" t="str">
        <v>HIST-0100</v>
      </c>
      <c r="B101" t="str">
        <v>D0064</v>
      </c>
      <c r="C101" t="str">
        <v>Plataforma de Integración</v>
      </c>
      <c r="D101" t="str">
        <v/>
      </c>
      <c r="E101" t="str">
        <v>Creación</v>
      </c>
      <c r="F101" t="str">
        <v/>
      </c>
      <c r="G101" t="str">
        <v/>
      </c>
      <c r="H101" t="str">
        <v/>
      </c>
      <c r="I101" t="str">
        <v/>
      </c>
      <c r="J101" t="str">
        <v/>
      </c>
      <c r="K101" t="str">
        <v>Edward Aviles Chabur</v>
      </c>
      <c r="L101" t="str">
        <v>App</v>
      </c>
      <c r="M101" t="str">
        <v>2026-03-30</v>
      </c>
      <c r="N101" t="str">
        <v/>
      </c>
      <c r="O101" t="str">
        <v/>
      </c>
      <c r="P101" t="str">
        <v/>
      </c>
      <c r="Q101" t="str">
        <v/>
      </c>
      <c r="R101" t="str">
        <f>IF(Q101="","","Q"&amp;ROUNDUP(MONTH(Q101)/3,0)&amp;"-"&amp;YEAR(Q101))</f>
        <v/>
      </c>
      <c r="S101" t="str">
        <v>Identificado</v>
      </c>
      <c r="T101" t="str">
        <v/>
      </c>
      <c r="U101" t="str">
        <v/>
      </c>
      <c r="V101" t="str">
        <v/>
      </c>
      <c r="W101" t="str">
        <v>Alta</v>
      </c>
      <c r="X101" t="str">
        <v/>
      </c>
      <c r="Y101" t="str">
        <v/>
      </c>
      <c r="Z101" t="str">
        <v/>
      </c>
      <c r="AA101" t="str">
        <v/>
      </c>
      <c r="AB101" t="str">
        <v/>
      </c>
      <c r="AC101" t="str">
        <v/>
      </c>
    </row>
    <row r="102">
      <c r="A102" t="str">
        <v>HIST-0101</v>
      </c>
      <c r="B102" t="str">
        <v>D0065</v>
      </c>
      <c r="C102" t="str">
        <v>Plataforma de Integración</v>
      </c>
      <c r="D102" t="str">
        <v/>
      </c>
      <c r="E102" t="str">
        <v>Creación</v>
      </c>
      <c r="F102" t="str">
        <v/>
      </c>
      <c r="G102" t="str">
        <v/>
      </c>
      <c r="H102" t="str">
        <v/>
      </c>
      <c r="I102" t="str">
        <v/>
      </c>
      <c r="J102" t="str">
        <v/>
      </c>
      <c r="K102" t="str">
        <v>Edward Aviles Chabur</v>
      </c>
      <c r="L102" t="str">
        <v>App</v>
      </c>
      <c r="M102" t="str">
        <v>2026-03-30</v>
      </c>
      <c r="N102" t="str">
        <v/>
      </c>
      <c r="O102" t="str">
        <v/>
      </c>
      <c r="P102" t="str">
        <v/>
      </c>
      <c r="Q102" t="str">
        <v/>
      </c>
      <c r="R102" t="str">
        <f>IF(Q102="","","Q"&amp;ROUNDUP(MONTH(Q102)/3,0)&amp;"-"&amp;YEAR(Q102))</f>
        <v/>
      </c>
      <c r="S102" t="str">
        <v>Identificado</v>
      </c>
      <c r="T102" t="str">
        <v/>
      </c>
      <c r="U102" t="str">
        <v/>
      </c>
      <c r="V102" t="str">
        <v/>
      </c>
      <c r="W102" t="str">
        <v>Baja</v>
      </c>
      <c r="X102" t="str">
        <v/>
      </c>
      <c r="Y102" t="str">
        <v/>
      </c>
      <c r="Z102" t="str">
        <v/>
      </c>
      <c r="AA102" t="str">
        <v/>
      </c>
      <c r="AB102" t="str">
        <v/>
      </c>
      <c r="AC102" t="str">
        <v/>
      </c>
    </row>
    <row r="103">
      <c r="A103" t="str">
        <v>HIST-0102</v>
      </c>
      <c r="B103" t="str">
        <v>D0066</v>
      </c>
      <c r="C103" t="str">
        <v>Plataforma de Integración</v>
      </c>
      <c r="D103" t="str">
        <v/>
      </c>
      <c r="E103" t="str">
        <v>Creación</v>
      </c>
      <c r="F103" t="str">
        <v/>
      </c>
      <c r="G103" t="str">
        <v/>
      </c>
      <c r="H103" t="str">
        <v/>
      </c>
      <c r="I103" t="str">
        <v/>
      </c>
      <c r="J103" t="str">
        <v/>
      </c>
      <c r="K103" t="str">
        <v>Edward Aviles Chabur</v>
      </c>
      <c r="L103" t="str">
        <v>App</v>
      </c>
      <c r="M103" t="str">
        <v>2026-03-30</v>
      </c>
      <c r="N103" t="str">
        <v/>
      </c>
      <c r="O103" t="str">
        <v/>
      </c>
      <c r="P103" t="str">
        <v/>
      </c>
      <c r="Q103" t="str">
        <v/>
      </c>
      <c r="R103" t="str">
        <f>IF(Q103="","","Q"&amp;ROUNDUP(MONTH(Q103)/3,0)&amp;"-"&amp;YEAR(Q103))</f>
        <v/>
      </c>
      <c r="S103" t="str">
        <v>Identificado</v>
      </c>
      <c r="T103" t="str">
        <v/>
      </c>
      <c r="U103" t="str">
        <v/>
      </c>
      <c r="V103" t="str">
        <v/>
      </c>
      <c r="W103" t="str">
        <v>Alta</v>
      </c>
      <c r="X103" t="str">
        <v/>
      </c>
      <c r="Y103" t="str">
        <v/>
      </c>
      <c r="Z103" t="str">
        <v/>
      </c>
      <c r="AA103" t="str">
        <v/>
      </c>
      <c r="AB103" t="str">
        <v/>
      </c>
      <c r="AC103" t="str">
        <v/>
      </c>
    </row>
    <row r="104">
      <c r="A104" t="str">
        <v>HIST-0103</v>
      </c>
      <c r="B104" t="str">
        <v>D0067</v>
      </c>
      <c r="C104" t="str">
        <v>Plataforma de Integración</v>
      </c>
      <c r="D104" t="str">
        <v/>
      </c>
      <c r="E104" t="str">
        <v>Creación</v>
      </c>
      <c r="F104" t="str">
        <v/>
      </c>
      <c r="G104" t="str">
        <v/>
      </c>
      <c r="H104" t="str">
        <v/>
      </c>
      <c r="I104" t="str">
        <v/>
      </c>
      <c r="J104" t="str">
        <v/>
      </c>
      <c r="K104" t="str">
        <v>Edward Aviles Chabur</v>
      </c>
      <c r="L104" t="str">
        <v>App</v>
      </c>
      <c r="M104" t="str">
        <v>2026-03-30</v>
      </c>
      <c r="N104" t="str">
        <v/>
      </c>
      <c r="O104" t="str">
        <v/>
      </c>
      <c r="P104" t="str">
        <v/>
      </c>
      <c r="Q104" t="str">
        <v/>
      </c>
      <c r="R104" t="str">
        <f>IF(Q104="","","Q"&amp;ROUNDUP(MONTH(Q104)/3,0)&amp;"-"&amp;YEAR(Q104))</f>
        <v/>
      </c>
      <c r="S104" t="str">
        <v>Identificado</v>
      </c>
      <c r="T104" t="str">
        <v/>
      </c>
      <c r="U104" t="str">
        <v/>
      </c>
      <c r="V104" t="str">
        <v/>
      </c>
      <c r="W104" t="str">
        <v>Alta</v>
      </c>
      <c r="X104" t="str">
        <v/>
      </c>
      <c r="Y104" t="str">
        <v/>
      </c>
      <c r="Z104" t="str">
        <v/>
      </c>
      <c r="AA104" t="str">
        <v/>
      </c>
      <c r="AB104" t="str">
        <v/>
      </c>
      <c r="AC104" t="str">
        <v/>
      </c>
    </row>
    <row r="105">
      <c r="A105" t="str">
        <v>HIST-0104</v>
      </c>
      <c r="B105" t="str">
        <v>D0068</v>
      </c>
      <c r="C105" t="str">
        <v>Plataforma de Integración</v>
      </c>
      <c r="D105" t="str">
        <v/>
      </c>
      <c r="E105" t="str">
        <v>Creación</v>
      </c>
      <c r="F105" t="str">
        <v/>
      </c>
      <c r="G105" t="str">
        <v/>
      </c>
      <c r="H105" t="str">
        <v/>
      </c>
      <c r="I105" t="str">
        <v/>
      </c>
      <c r="J105" t="str">
        <v/>
      </c>
      <c r="K105" t="str">
        <v>Edward Aviles Chabur</v>
      </c>
      <c r="L105" t="str">
        <v>App</v>
      </c>
      <c r="M105" t="str">
        <v>2026-03-30</v>
      </c>
      <c r="N105" t="str">
        <v/>
      </c>
      <c r="O105" t="str">
        <v/>
      </c>
      <c r="P105" t="str">
        <v/>
      </c>
      <c r="Q105" t="str">
        <v/>
      </c>
      <c r="R105" t="str">
        <f>IF(Q105="","","Q"&amp;ROUNDUP(MONTH(Q105)/3,0)&amp;"-"&amp;YEAR(Q105))</f>
        <v/>
      </c>
      <c r="S105" t="str">
        <v>Identificado</v>
      </c>
      <c r="T105" t="str">
        <v/>
      </c>
      <c r="U105" t="str">
        <v/>
      </c>
      <c r="V105" t="str">
        <v/>
      </c>
      <c r="W105" t="str">
        <v>Alta</v>
      </c>
      <c r="X105" t="str">
        <v/>
      </c>
      <c r="Y105" t="str">
        <v/>
      </c>
      <c r="Z105" t="str">
        <v/>
      </c>
      <c r="AA105" t="str">
        <v/>
      </c>
      <c r="AB105" t="str">
        <v/>
      </c>
      <c r="AC105" t="str">
        <v/>
      </c>
    </row>
    <row r="106">
      <c r="A106" t="str">
        <v>HIST-0105</v>
      </c>
      <c r="B106" t="str">
        <v>D0069</v>
      </c>
      <c r="C106" t="str">
        <v>Plataforma de Integración</v>
      </c>
      <c r="D106" t="str">
        <v/>
      </c>
      <c r="E106" t="str">
        <v>Creación</v>
      </c>
      <c r="F106" t="str">
        <v/>
      </c>
      <c r="G106" t="str">
        <v/>
      </c>
      <c r="H106" t="str">
        <v/>
      </c>
      <c r="I106" t="str">
        <v/>
      </c>
      <c r="J106" t="str">
        <v/>
      </c>
      <c r="K106" t="str">
        <v>Edward Aviles Chabur</v>
      </c>
      <c r="L106" t="str">
        <v>App</v>
      </c>
      <c r="M106" t="str">
        <v>2026-03-30</v>
      </c>
      <c r="N106" t="str">
        <v/>
      </c>
      <c r="O106" t="str">
        <v/>
      </c>
      <c r="P106" t="str">
        <v/>
      </c>
      <c r="Q106" t="str">
        <v/>
      </c>
      <c r="R106" t="str">
        <f>IF(Q106="","","Q"&amp;ROUNDUP(MONTH(Q106)/3,0)&amp;"-"&amp;YEAR(Q106))</f>
        <v/>
      </c>
      <c r="S106" t="str">
        <v>Identificado</v>
      </c>
      <c r="T106" t="str">
        <v/>
      </c>
      <c r="U106" t="str">
        <v/>
      </c>
      <c r="V106" t="str">
        <v/>
      </c>
      <c r="W106" t="str">
        <v>Alta</v>
      </c>
      <c r="X106" t="str">
        <v/>
      </c>
      <c r="Y106" t="str">
        <v/>
      </c>
      <c r="Z106" t="str">
        <v/>
      </c>
      <c r="AA106" t="str">
        <v/>
      </c>
      <c r="AB106" t="str">
        <v/>
      </c>
      <c r="AC106" t="str">
        <v/>
      </c>
    </row>
    <row r="107">
      <c r="A107" t="str">
        <v>HIST-0106</v>
      </c>
      <c r="B107" t="str">
        <v>D0070</v>
      </c>
      <c r="C107" t="str">
        <v>Plataforma de Integración</v>
      </c>
      <c r="D107" t="str">
        <v/>
      </c>
      <c r="E107" t="str">
        <v>Creación</v>
      </c>
      <c r="F107" t="str">
        <v/>
      </c>
      <c r="G107" t="str">
        <v/>
      </c>
      <c r="H107" t="str">
        <v/>
      </c>
      <c r="I107" t="str">
        <v/>
      </c>
      <c r="J107" t="str">
        <v/>
      </c>
      <c r="K107" t="str">
        <v>Edward Aviles Chabur</v>
      </c>
      <c r="L107" t="str">
        <v>App</v>
      </c>
      <c r="M107" t="str">
        <v>2026-03-30</v>
      </c>
      <c r="N107" t="str">
        <v/>
      </c>
      <c r="O107" t="str">
        <v/>
      </c>
      <c r="P107" t="str">
        <v/>
      </c>
      <c r="Q107" t="str">
        <v/>
      </c>
      <c r="R107" t="str">
        <f>IF(Q107="","","Q"&amp;ROUNDUP(MONTH(Q107)/3,0)&amp;"-"&amp;YEAR(Q107))</f>
        <v/>
      </c>
      <c r="S107" t="str">
        <v>Identificado</v>
      </c>
      <c r="T107" t="str">
        <v/>
      </c>
      <c r="U107" t="str">
        <v/>
      </c>
      <c r="V107" t="str">
        <v/>
      </c>
      <c r="W107" t="str">
        <v>Alta</v>
      </c>
      <c r="X107" t="str">
        <v/>
      </c>
      <c r="Y107" t="str">
        <v/>
      </c>
      <c r="Z107" t="str">
        <v/>
      </c>
      <c r="AA107" t="str">
        <v/>
      </c>
      <c r="AB107" t="str">
        <v/>
      </c>
      <c r="AC107" t="str">
        <v/>
      </c>
    </row>
    <row r="108">
      <c r="A108" t="str">
        <v>HIST-0107</v>
      </c>
      <c r="B108" t="str">
        <v>D0071</v>
      </c>
      <c r="C108" t="str">
        <v>Plataforma de Integración</v>
      </c>
      <c r="D108" t="str">
        <v/>
      </c>
      <c r="E108" t="str">
        <v>Creación</v>
      </c>
      <c r="F108" t="str">
        <v/>
      </c>
      <c r="G108" t="str">
        <v/>
      </c>
      <c r="H108" t="str">
        <v/>
      </c>
      <c r="I108" t="str">
        <v/>
      </c>
      <c r="J108" t="str">
        <v/>
      </c>
      <c r="K108" t="str">
        <v>Edward Aviles Chabur</v>
      </c>
      <c r="L108" t="str">
        <v>App</v>
      </c>
      <c r="M108" t="str">
        <v>2026-03-30</v>
      </c>
      <c r="N108" t="str">
        <v/>
      </c>
      <c r="O108" t="str">
        <v/>
      </c>
      <c r="P108" t="str">
        <v/>
      </c>
      <c r="Q108" t="str">
        <v/>
      </c>
      <c r="R108" t="str">
        <f>IF(Q108="","","Q"&amp;ROUNDUP(MONTH(Q108)/3,0)&amp;"-"&amp;YEAR(Q108))</f>
        <v/>
      </c>
      <c r="S108" t="str">
        <v>Identificado</v>
      </c>
      <c r="T108" t="str">
        <v/>
      </c>
      <c r="U108" t="str">
        <v/>
      </c>
      <c r="V108" t="str">
        <v/>
      </c>
      <c r="W108" t="str">
        <v>Baja</v>
      </c>
      <c r="X108" t="str">
        <v/>
      </c>
      <c r="Y108" t="str">
        <v/>
      </c>
      <c r="Z108" t="str">
        <v/>
      </c>
      <c r="AA108" t="str">
        <v/>
      </c>
      <c r="AB108" t="str">
        <v/>
      </c>
      <c r="AC108" t="str">
        <v/>
      </c>
    </row>
    <row r="109">
      <c r="A109" t="str">
        <v>HIST-0108</v>
      </c>
      <c r="B109" t="str">
        <v>D0072</v>
      </c>
      <c r="C109" t="str">
        <v>Plataforma de Integración</v>
      </c>
      <c r="D109" t="str">
        <v/>
      </c>
      <c r="E109" t="str">
        <v>Creación</v>
      </c>
      <c r="F109" t="str">
        <v/>
      </c>
      <c r="G109" t="str">
        <v/>
      </c>
      <c r="H109" t="str">
        <v/>
      </c>
      <c r="I109" t="str">
        <v/>
      </c>
      <c r="J109" t="str">
        <v/>
      </c>
      <c r="K109" t="str">
        <v>Edward Aviles Chabur</v>
      </c>
      <c r="L109" t="str">
        <v>App</v>
      </c>
      <c r="M109" t="str">
        <v>2026-03-30</v>
      </c>
      <c r="N109" t="str">
        <v/>
      </c>
      <c r="O109" t="str">
        <v/>
      </c>
      <c r="P109" t="str">
        <v/>
      </c>
      <c r="Q109" t="str">
        <v/>
      </c>
      <c r="R109" t="str">
        <f>IF(Q109="","","Q"&amp;ROUNDUP(MONTH(Q109)/3,0)&amp;"-"&amp;YEAR(Q109))</f>
        <v/>
      </c>
      <c r="S109" t="str">
        <v>Identificado</v>
      </c>
      <c r="T109" t="str">
        <v/>
      </c>
      <c r="U109" t="str">
        <v/>
      </c>
      <c r="V109" t="str">
        <v/>
      </c>
      <c r="W109" t="str">
        <v>Alta</v>
      </c>
      <c r="X109" t="str">
        <v/>
      </c>
      <c r="Y109" t="str">
        <v/>
      </c>
      <c r="Z109" t="str">
        <v/>
      </c>
      <c r="AA109" t="str">
        <v/>
      </c>
      <c r="AB109" t="str">
        <v/>
      </c>
      <c r="AC109" t="str">
        <v/>
      </c>
    </row>
    <row r="110">
      <c r="A110" t="str">
        <v>HIST-0109</v>
      </c>
      <c r="B110" t="str">
        <v>D0073</v>
      </c>
      <c r="C110" t="str">
        <v>Plataforma de Integración</v>
      </c>
      <c r="D110" t="str">
        <v/>
      </c>
      <c r="E110" t="str">
        <v>Creación</v>
      </c>
      <c r="F110" t="str">
        <v/>
      </c>
      <c r="G110" t="str">
        <v/>
      </c>
      <c r="H110" t="str">
        <v/>
      </c>
      <c r="I110" t="str">
        <v/>
      </c>
      <c r="J110" t="str">
        <v/>
      </c>
      <c r="K110" t="str">
        <v>Edward Aviles Chabur</v>
      </c>
      <c r="L110" t="str">
        <v>App</v>
      </c>
      <c r="M110" t="str">
        <v>2026-03-30</v>
      </c>
      <c r="N110" t="str">
        <v/>
      </c>
      <c r="O110" t="str">
        <v/>
      </c>
      <c r="P110" t="str">
        <v/>
      </c>
      <c r="Q110" t="str">
        <v/>
      </c>
      <c r="R110" t="str">
        <f>IF(Q110="","","Q"&amp;ROUNDUP(MONTH(Q110)/3,0)&amp;"-"&amp;YEAR(Q110))</f>
        <v/>
      </c>
      <c r="S110" t="str">
        <v>Identificado</v>
      </c>
      <c r="T110" t="str">
        <v/>
      </c>
      <c r="U110" t="str">
        <v/>
      </c>
      <c r="V110" t="str">
        <v/>
      </c>
      <c r="W110" t="str">
        <v>Media</v>
      </c>
      <c r="X110" t="str">
        <v/>
      </c>
      <c r="Y110" t="str">
        <v/>
      </c>
      <c r="Z110" t="str">
        <v/>
      </c>
      <c r="AA110" t="str">
        <v/>
      </c>
      <c r="AB110" t="str">
        <v/>
      </c>
      <c r="AC110" t="str">
        <v/>
      </c>
    </row>
    <row r="111">
      <c r="A111" t="str">
        <v>HIST-0110</v>
      </c>
      <c r="B111" t="str">
        <v>D0074</v>
      </c>
      <c r="C111" t="str">
        <v>Plataforma de Integración</v>
      </c>
      <c r="D111" t="str">
        <v/>
      </c>
      <c r="E111" t="str">
        <v>Creación</v>
      </c>
      <c r="F111" t="str">
        <v/>
      </c>
      <c r="G111" t="str">
        <v/>
      </c>
      <c r="H111" t="str">
        <v/>
      </c>
      <c r="I111" t="str">
        <v/>
      </c>
      <c r="J111" t="str">
        <v/>
      </c>
      <c r="K111" t="str">
        <v>Edward Aviles Chabur</v>
      </c>
      <c r="L111" t="str">
        <v>App</v>
      </c>
      <c r="M111" t="str">
        <v>2026-03-30</v>
      </c>
      <c r="N111" t="str">
        <v/>
      </c>
      <c r="O111" t="str">
        <v/>
      </c>
      <c r="P111" t="str">
        <v/>
      </c>
      <c r="Q111" t="str">
        <v/>
      </c>
      <c r="R111" t="str">
        <f>IF(Q111="","","Q"&amp;ROUNDUP(MONTH(Q111)/3,0)&amp;"-"&amp;YEAR(Q111))</f>
        <v/>
      </c>
      <c r="S111" t="str">
        <v>Identificado</v>
      </c>
      <c r="T111" t="str">
        <v/>
      </c>
      <c r="U111" t="str">
        <v/>
      </c>
      <c r="V111" t="str">
        <v/>
      </c>
      <c r="W111" t="str">
        <v>Media</v>
      </c>
      <c r="X111" t="str">
        <v/>
      </c>
      <c r="Y111" t="str">
        <v/>
      </c>
      <c r="Z111" t="str">
        <v/>
      </c>
      <c r="AA111" t="str">
        <v/>
      </c>
      <c r="AB111" t="str">
        <v/>
      </c>
      <c r="AC111" t="str">
        <v/>
      </c>
    </row>
    <row r="112">
      <c r="A112" t="str">
        <v>HIST-0111</v>
      </c>
      <c r="B112" t="str">
        <v>D0075</v>
      </c>
      <c r="C112" t="str">
        <v>Plataforma de Integración</v>
      </c>
      <c r="D112" t="str">
        <v/>
      </c>
      <c r="E112" t="str">
        <v>Creación</v>
      </c>
      <c r="F112" t="str">
        <v/>
      </c>
      <c r="G112" t="str">
        <v/>
      </c>
      <c r="H112" t="str">
        <v/>
      </c>
      <c r="I112" t="str">
        <v/>
      </c>
      <c r="J112" t="str">
        <v/>
      </c>
      <c r="K112" t="str">
        <v>Edward Aviles Chabur</v>
      </c>
      <c r="L112" t="str">
        <v>App</v>
      </c>
      <c r="M112" t="str">
        <v>2026-03-30</v>
      </c>
      <c r="N112" t="str">
        <v/>
      </c>
      <c r="O112" t="str">
        <v/>
      </c>
      <c r="P112" t="str">
        <v/>
      </c>
      <c r="Q112" t="str">
        <v/>
      </c>
      <c r="R112" t="str">
        <f>IF(Q112="","","Q"&amp;ROUNDUP(MONTH(Q112)/3,0)&amp;"-"&amp;YEAR(Q112))</f>
        <v/>
      </c>
      <c r="S112" t="str">
        <v>Identificado</v>
      </c>
      <c r="T112" t="str">
        <v/>
      </c>
      <c r="U112" t="str">
        <v/>
      </c>
      <c r="V112" t="str">
        <v/>
      </c>
      <c r="W112" t="str">
        <v>Media</v>
      </c>
      <c r="X112" t="str">
        <v/>
      </c>
      <c r="Y112" t="str">
        <v/>
      </c>
      <c r="Z112" t="str">
        <v/>
      </c>
      <c r="AA112" t="str">
        <v/>
      </c>
      <c r="AB112" t="str">
        <v/>
      </c>
      <c r="AC112" t="str">
        <v/>
      </c>
    </row>
    <row r="113">
      <c r="A113" t="str">
        <v>HIST-0112</v>
      </c>
      <c r="B113" t="str">
        <v>D0076</v>
      </c>
      <c r="C113" t="str">
        <v>Plataforma de Integración</v>
      </c>
      <c r="D113" t="str">
        <v/>
      </c>
      <c r="E113" t="str">
        <v>Creación</v>
      </c>
      <c r="F113" t="str">
        <v/>
      </c>
      <c r="G113" t="str">
        <v/>
      </c>
      <c r="H113" t="str">
        <v/>
      </c>
      <c r="I113" t="str">
        <v/>
      </c>
      <c r="J113" t="str">
        <v/>
      </c>
      <c r="K113" t="str">
        <v>Edward Aviles Chabur</v>
      </c>
      <c r="L113" t="str">
        <v>App</v>
      </c>
      <c r="M113" t="str">
        <v>2026-03-30</v>
      </c>
      <c r="N113" t="str">
        <v/>
      </c>
      <c r="O113" t="str">
        <v/>
      </c>
      <c r="P113" t="str">
        <v/>
      </c>
      <c r="Q113" t="str">
        <v/>
      </c>
      <c r="R113" t="str">
        <f>IF(Q113="","","Q"&amp;ROUNDUP(MONTH(Q113)/3,0)&amp;"-"&amp;YEAR(Q113))</f>
        <v/>
      </c>
      <c r="S113" t="str">
        <v>Identificado</v>
      </c>
      <c r="T113" t="str">
        <v/>
      </c>
      <c r="U113" t="str">
        <v/>
      </c>
      <c r="V113" t="str">
        <v/>
      </c>
      <c r="W113" t="str">
        <v>Media</v>
      </c>
      <c r="X113" t="str">
        <v/>
      </c>
      <c r="Y113" t="str">
        <v/>
      </c>
      <c r="Z113" t="str">
        <v/>
      </c>
      <c r="AA113" t="str">
        <v/>
      </c>
      <c r="AB113" t="str">
        <v/>
      </c>
      <c r="AC113" t="str">
        <v/>
      </c>
    </row>
    <row r="114">
      <c r="A114" t="str">
        <v>HIST-0113</v>
      </c>
      <c r="B114" t="str">
        <v>D0077</v>
      </c>
      <c r="C114" t="str">
        <v>Plataforma de Integración</v>
      </c>
      <c r="D114" t="str">
        <v/>
      </c>
      <c r="E114" t="str">
        <v>Creación</v>
      </c>
      <c r="F114" t="str">
        <v/>
      </c>
      <c r="G114" t="str">
        <v/>
      </c>
      <c r="H114" t="str">
        <v/>
      </c>
      <c r="I114" t="str">
        <v/>
      </c>
      <c r="J114" t="str">
        <v/>
      </c>
      <c r="K114" t="str">
        <v>Edward Aviles Chabur</v>
      </c>
      <c r="L114" t="str">
        <v>App</v>
      </c>
      <c r="M114" t="str">
        <v>2026-03-30</v>
      </c>
      <c r="N114" t="str">
        <v/>
      </c>
      <c r="O114" t="str">
        <v/>
      </c>
      <c r="P114" t="str">
        <v/>
      </c>
      <c r="Q114" t="str">
        <v/>
      </c>
      <c r="R114" t="str">
        <f>IF(Q114="","","Q"&amp;ROUNDUP(MONTH(Q114)/3,0)&amp;"-"&amp;YEAR(Q114))</f>
        <v/>
      </c>
      <c r="S114" t="str">
        <v>Identificado</v>
      </c>
      <c r="T114" t="str">
        <v/>
      </c>
      <c r="U114" t="str">
        <v/>
      </c>
      <c r="V114" t="str">
        <v/>
      </c>
      <c r="W114" t="str">
        <v>Alta</v>
      </c>
      <c r="X114" t="str">
        <v/>
      </c>
      <c r="Y114" t="str">
        <v/>
      </c>
      <c r="Z114" t="str">
        <v/>
      </c>
      <c r="AA114" t="str">
        <v/>
      </c>
      <c r="AB114" t="str">
        <v/>
      </c>
      <c r="AC114" t="str">
        <v/>
      </c>
    </row>
    <row r="115">
      <c r="A115" t="str">
        <v>HIST-0114</v>
      </c>
      <c r="B115" t="str">
        <v>D0078</v>
      </c>
      <c r="C115" t="str">
        <v>Plataforma de Integración</v>
      </c>
      <c r="D115" t="str">
        <v/>
      </c>
      <c r="E115" t="str">
        <v>Creación</v>
      </c>
      <c r="F115" t="str">
        <v/>
      </c>
      <c r="G115" t="str">
        <v/>
      </c>
      <c r="H115" t="str">
        <v/>
      </c>
      <c r="I115" t="str">
        <v/>
      </c>
      <c r="J115" t="str">
        <v/>
      </c>
      <c r="K115" t="str">
        <v>Edward Aviles Chabur</v>
      </c>
      <c r="L115" t="str">
        <v>App</v>
      </c>
      <c r="M115" t="str">
        <v>2026-03-30</v>
      </c>
      <c r="N115" t="str">
        <v/>
      </c>
      <c r="O115" t="str">
        <v/>
      </c>
      <c r="P115" t="str">
        <v/>
      </c>
      <c r="Q115" t="str">
        <v/>
      </c>
      <c r="R115" t="str">
        <f>IF(Q115="","","Q"&amp;ROUNDUP(MONTH(Q115)/3,0)&amp;"-"&amp;YEAR(Q115))</f>
        <v/>
      </c>
      <c r="S115" t="str">
        <v>Identificado</v>
      </c>
      <c r="T115" t="str">
        <v/>
      </c>
      <c r="U115" t="str">
        <v/>
      </c>
      <c r="V115" t="str">
        <v/>
      </c>
      <c r="W115" t="str">
        <v>Media</v>
      </c>
      <c r="X115" t="str">
        <v/>
      </c>
      <c r="Y115" t="str">
        <v/>
      </c>
      <c r="Z115" t="str">
        <v/>
      </c>
      <c r="AA115" t="str">
        <v/>
      </c>
      <c r="AB115" t="str">
        <v/>
      </c>
      <c r="AC115" t="str">
        <v/>
      </c>
    </row>
    <row r="116">
      <c r="A116" t="str">
        <v>HIST-0115</v>
      </c>
      <c r="B116" t="str">
        <v>D0079</v>
      </c>
      <c r="C116" t="str">
        <v>Plataforma de Integración</v>
      </c>
      <c r="D116" t="str">
        <v/>
      </c>
      <c r="E116" t="str">
        <v>Creación</v>
      </c>
      <c r="F116" t="str">
        <v/>
      </c>
      <c r="G116" t="str">
        <v/>
      </c>
      <c r="H116" t="str">
        <v/>
      </c>
      <c r="I116" t="str">
        <v/>
      </c>
      <c r="J116" t="str">
        <v/>
      </c>
      <c r="K116" t="str">
        <v>Edward Aviles Chabur</v>
      </c>
      <c r="L116" t="str">
        <v>App</v>
      </c>
      <c r="M116" t="str">
        <v>2026-03-30</v>
      </c>
      <c r="N116" t="str">
        <v/>
      </c>
      <c r="O116" t="str">
        <v/>
      </c>
      <c r="P116" t="str">
        <v/>
      </c>
      <c r="Q116" t="str">
        <v/>
      </c>
      <c r="R116" t="str">
        <f>IF(Q116="","","Q"&amp;ROUNDUP(MONTH(Q116)/3,0)&amp;"-"&amp;YEAR(Q116))</f>
        <v/>
      </c>
      <c r="S116" t="str">
        <v>Identificado</v>
      </c>
      <c r="T116" t="str">
        <v/>
      </c>
      <c r="U116" t="str">
        <v/>
      </c>
      <c r="V116" t="str">
        <v/>
      </c>
      <c r="W116" t="str">
        <v>Media</v>
      </c>
      <c r="X116" t="str">
        <v/>
      </c>
      <c r="Y116" t="str">
        <v/>
      </c>
      <c r="Z116" t="str">
        <v/>
      </c>
      <c r="AA116" t="str">
        <v/>
      </c>
      <c r="AB116" t="str">
        <v/>
      </c>
      <c r="AC116" t="str">
        <v/>
      </c>
    </row>
    <row r="117">
      <c r="A117" t="str">
        <v>HIST-0116</v>
      </c>
      <c r="B117" t="str">
        <v>D0080</v>
      </c>
      <c r="C117" t="str">
        <v>Plataforma de Integración</v>
      </c>
      <c r="D117" t="str">
        <v/>
      </c>
      <c r="E117" t="str">
        <v>Creación</v>
      </c>
      <c r="F117" t="str">
        <v/>
      </c>
      <c r="G117" t="str">
        <v/>
      </c>
      <c r="H117" t="str">
        <v/>
      </c>
      <c r="I117" t="str">
        <v/>
      </c>
      <c r="J117" t="str">
        <v/>
      </c>
      <c r="K117" t="str">
        <v>Edward Aviles Chabur</v>
      </c>
      <c r="L117" t="str">
        <v>App</v>
      </c>
      <c r="M117" t="str">
        <v>2026-03-30</v>
      </c>
      <c r="N117" t="str">
        <v/>
      </c>
      <c r="O117" t="str">
        <v/>
      </c>
      <c r="P117" t="str">
        <v/>
      </c>
      <c r="Q117" t="str">
        <v/>
      </c>
      <c r="R117" t="str">
        <f>IF(Q117="","","Q"&amp;ROUNDUP(MONTH(Q117)/3,0)&amp;"-"&amp;YEAR(Q117))</f>
        <v/>
      </c>
      <c r="S117" t="str">
        <v>Identificado</v>
      </c>
      <c r="T117" t="str">
        <v/>
      </c>
      <c r="U117" t="str">
        <v/>
      </c>
      <c r="V117" t="str">
        <v/>
      </c>
      <c r="W117" t="str">
        <v>Alta</v>
      </c>
      <c r="X117" t="str">
        <v/>
      </c>
      <c r="Y117" t="str">
        <v/>
      </c>
      <c r="Z117" t="str">
        <v/>
      </c>
      <c r="AA117" t="str">
        <v/>
      </c>
      <c r="AB117" t="str">
        <v/>
      </c>
      <c r="AC117" t="str">
        <v/>
      </c>
    </row>
    <row r="118">
      <c r="A118" t="str">
        <v>HIST-0117</v>
      </c>
      <c r="B118" t="str">
        <v>D0081</v>
      </c>
      <c r="C118" t="str">
        <v>Plataforma de Integración</v>
      </c>
      <c r="D118" t="str">
        <v/>
      </c>
      <c r="E118" t="str">
        <v>Creación</v>
      </c>
      <c r="F118" t="str">
        <v/>
      </c>
      <c r="G118" t="str">
        <v/>
      </c>
      <c r="H118" t="str">
        <v/>
      </c>
      <c r="I118" t="str">
        <v/>
      </c>
      <c r="J118" t="str">
        <v/>
      </c>
      <c r="K118" t="str">
        <v>Edward Aviles Chabur</v>
      </c>
      <c r="L118" t="str">
        <v>App</v>
      </c>
      <c r="M118" t="str">
        <v>2026-03-30</v>
      </c>
      <c r="N118" t="str">
        <v/>
      </c>
      <c r="O118" t="str">
        <v/>
      </c>
      <c r="P118" t="str">
        <v/>
      </c>
      <c r="Q118" t="str">
        <v/>
      </c>
      <c r="R118" t="str">
        <f>IF(Q118="","","Q"&amp;ROUNDUP(MONTH(Q118)/3,0)&amp;"-"&amp;YEAR(Q118))</f>
        <v/>
      </c>
      <c r="S118" t="str">
        <v>Identificado</v>
      </c>
      <c r="T118" t="str">
        <v/>
      </c>
      <c r="U118" t="str">
        <v/>
      </c>
      <c r="V118" t="str">
        <v/>
      </c>
      <c r="W118" t="str">
        <v>Alta</v>
      </c>
      <c r="X118" t="str">
        <v/>
      </c>
      <c r="Y118" t="str">
        <v/>
      </c>
      <c r="Z118" t="str">
        <v/>
      </c>
      <c r="AA118" t="str">
        <v/>
      </c>
      <c r="AB118" t="str">
        <v/>
      </c>
      <c r="AC118" t="str">
        <v/>
      </c>
    </row>
    <row r="119">
      <c r="A119" t="str">
        <v>HIST-0118</v>
      </c>
      <c r="B119" t="str">
        <v>D0082</v>
      </c>
      <c r="C119" t="str">
        <v>Plataforma de Integración</v>
      </c>
      <c r="D119" t="str">
        <v/>
      </c>
      <c r="E119" t="str">
        <v>Creación</v>
      </c>
      <c r="F119" t="str">
        <v/>
      </c>
      <c r="G119" t="str">
        <v/>
      </c>
      <c r="H119" t="str">
        <v/>
      </c>
      <c r="I119" t="str">
        <v/>
      </c>
      <c r="J119" t="str">
        <v/>
      </c>
      <c r="K119" t="str">
        <v>Edward Aviles Chabur</v>
      </c>
      <c r="L119" t="str">
        <v>App</v>
      </c>
      <c r="M119" t="str">
        <v>2026-03-30</v>
      </c>
      <c r="N119" t="str">
        <v/>
      </c>
      <c r="O119" t="str">
        <v/>
      </c>
      <c r="P119" t="str">
        <v/>
      </c>
      <c r="Q119" t="str">
        <v/>
      </c>
      <c r="R119" t="str">
        <f>IF(Q119="","","Q"&amp;ROUNDUP(MONTH(Q119)/3,0)&amp;"-"&amp;YEAR(Q119))</f>
        <v/>
      </c>
      <c r="S119" t="str">
        <v>Identificado</v>
      </c>
      <c r="T119" t="str">
        <v/>
      </c>
      <c r="U119" t="str">
        <v/>
      </c>
      <c r="V119" t="str">
        <v/>
      </c>
      <c r="W119" t="str">
        <v>Alta</v>
      </c>
      <c r="X119" t="str">
        <v/>
      </c>
      <c r="Y119" t="str">
        <v/>
      </c>
      <c r="Z119" t="str">
        <v/>
      </c>
      <c r="AA119" t="str">
        <v/>
      </c>
      <c r="AB119" t="str">
        <v/>
      </c>
      <c r="AC119" t="str">
        <v/>
      </c>
    </row>
    <row r="120">
      <c r="A120" t="str">
        <v>HIST-0119</v>
      </c>
      <c r="B120" t="str">
        <v>D0083</v>
      </c>
      <c r="C120" t="str">
        <v>Plataforma de Integración</v>
      </c>
      <c r="D120" t="str">
        <v/>
      </c>
      <c r="E120" t="str">
        <v>Creación</v>
      </c>
      <c r="F120" t="str">
        <v/>
      </c>
      <c r="G120" t="str">
        <v/>
      </c>
      <c r="H120" t="str">
        <v/>
      </c>
      <c r="I120" t="str">
        <v/>
      </c>
      <c r="J120" t="str">
        <v/>
      </c>
      <c r="K120" t="str">
        <v>Edward Aviles Chabur</v>
      </c>
      <c r="L120" t="str">
        <v>App</v>
      </c>
      <c r="M120" t="str">
        <v>2026-03-30</v>
      </c>
      <c r="N120" t="str">
        <v/>
      </c>
      <c r="O120" t="str">
        <v/>
      </c>
      <c r="P120" t="str">
        <v/>
      </c>
      <c r="Q120" t="str">
        <v/>
      </c>
      <c r="R120" t="str">
        <f>IF(Q120="","","Q"&amp;ROUNDUP(MONTH(Q120)/3,0)&amp;"-"&amp;YEAR(Q120))</f>
        <v/>
      </c>
      <c r="S120" t="str">
        <v>Identificado</v>
      </c>
      <c r="T120" t="str">
        <v/>
      </c>
      <c r="U120" t="str">
        <v/>
      </c>
      <c r="V120" t="str">
        <v/>
      </c>
      <c r="W120" t="str">
        <v>Media</v>
      </c>
      <c r="X120" t="str">
        <v/>
      </c>
      <c r="Y120" t="str">
        <v/>
      </c>
      <c r="Z120" t="str">
        <v/>
      </c>
      <c r="AA120" t="str">
        <v/>
      </c>
      <c r="AB120" t="str">
        <v/>
      </c>
      <c r="AC120" t="str">
        <v/>
      </c>
    </row>
    <row r="121">
      <c r="A121" t="str">
        <v>HIST-0120</v>
      </c>
      <c r="B121" t="str">
        <v>D0084</v>
      </c>
      <c r="C121" t="str">
        <v>Plataforma de Integración</v>
      </c>
      <c r="D121" t="str">
        <v/>
      </c>
      <c r="E121" t="str">
        <v>Creación</v>
      </c>
      <c r="F121" t="str">
        <v/>
      </c>
      <c r="G121" t="str">
        <v/>
      </c>
      <c r="H121" t="str">
        <v/>
      </c>
      <c r="I121" t="str">
        <v/>
      </c>
      <c r="J121" t="str">
        <v/>
      </c>
      <c r="K121" t="str">
        <v>Edward Aviles Chabur</v>
      </c>
      <c r="L121" t="str">
        <v>App</v>
      </c>
      <c r="M121" t="str">
        <v>2026-03-30</v>
      </c>
      <c r="N121" t="str">
        <v/>
      </c>
      <c r="O121" t="str">
        <v/>
      </c>
      <c r="P121" t="str">
        <v/>
      </c>
      <c r="Q121" t="str">
        <v/>
      </c>
      <c r="R121" t="str">
        <f>IF(Q121="","","Q"&amp;ROUNDUP(MONTH(Q121)/3,0)&amp;"-"&amp;YEAR(Q121))</f>
        <v/>
      </c>
      <c r="S121" t="str">
        <v>Identificado</v>
      </c>
      <c r="T121" t="str">
        <v/>
      </c>
      <c r="U121" t="str">
        <v/>
      </c>
      <c r="V121" t="str">
        <v/>
      </c>
      <c r="W121" t="str">
        <v>Alta</v>
      </c>
      <c r="X121" t="str">
        <v/>
      </c>
      <c r="Y121" t="str">
        <v/>
      </c>
      <c r="Z121" t="str">
        <v/>
      </c>
      <c r="AA121" t="str">
        <v/>
      </c>
      <c r="AB121" t="str">
        <v/>
      </c>
      <c r="AC121" t="str">
        <v/>
      </c>
    </row>
    <row r="122">
      <c r="A122" t="str">
        <v>HIST-0121</v>
      </c>
      <c r="B122" t="str">
        <v>D0085</v>
      </c>
      <c r="C122" t="str">
        <v>Plataforma de Integración</v>
      </c>
      <c r="D122" t="str">
        <v/>
      </c>
      <c r="E122" t="str">
        <v>Creación</v>
      </c>
      <c r="F122" t="str">
        <v/>
      </c>
      <c r="G122" t="str">
        <v/>
      </c>
      <c r="H122" t="str">
        <v/>
      </c>
      <c r="I122" t="str">
        <v/>
      </c>
      <c r="J122" t="str">
        <v/>
      </c>
      <c r="K122" t="str">
        <v>Edward Aviles Chabur</v>
      </c>
      <c r="L122" t="str">
        <v>App</v>
      </c>
      <c r="M122" t="str">
        <v>2026-04-15</v>
      </c>
      <c r="N122" t="str">
        <v/>
      </c>
      <c r="O122" t="str">
        <v/>
      </c>
      <c r="P122" t="str">
        <v/>
      </c>
      <c r="Q122" t="str">
        <v/>
      </c>
      <c r="R122" t="str">
        <f>IF(Q122="","","Q"&amp;ROUNDUP(MONTH(Q122)/3,0)&amp;"-"&amp;YEAR(Q122))</f>
        <v/>
      </c>
      <c r="S122" t="str">
        <v>Diseño</v>
      </c>
      <c r="T122" t="str">
        <v/>
      </c>
      <c r="U122" t="str">
        <v/>
      </c>
      <c r="V122" t="str">
        <v/>
      </c>
      <c r="W122" t="str">
        <v>Media</v>
      </c>
      <c r="X122" t="str">
        <v/>
      </c>
      <c r="Y122" t="str">
        <v/>
      </c>
      <c r="Z122" t="str">
        <v/>
      </c>
      <c r="AA122" t="str">
        <v/>
      </c>
      <c r="AB122" t="str">
        <v/>
      </c>
      <c r="AC122" t="str">
        <v/>
      </c>
    </row>
    <row r="123">
      <c r="A123" t="str">
        <v>HIST-0122</v>
      </c>
      <c r="B123" t="str">
        <v>D0086</v>
      </c>
      <c r="C123" t="str">
        <v>Plataforma de Integración</v>
      </c>
      <c r="D123" t="str">
        <v/>
      </c>
      <c r="E123" t="str">
        <v>Creación</v>
      </c>
      <c r="F123" t="str">
        <v/>
      </c>
      <c r="G123" t="str">
        <v/>
      </c>
      <c r="H123" t="str">
        <v/>
      </c>
      <c r="I123" t="str">
        <v/>
      </c>
      <c r="J123" t="str">
        <v/>
      </c>
      <c r="K123" t="str">
        <v>Edward Aviles Chabur</v>
      </c>
      <c r="L123" t="str">
        <v>App</v>
      </c>
      <c r="M123" t="str">
        <v>2026-03-30</v>
      </c>
      <c r="N123" t="str">
        <v/>
      </c>
      <c r="O123" t="str">
        <v/>
      </c>
      <c r="P123" t="str">
        <v/>
      </c>
      <c r="Q123" t="str">
        <v/>
      </c>
      <c r="R123" t="str">
        <f>IF(Q123="","","Q"&amp;ROUNDUP(MONTH(Q123)/3,0)&amp;"-"&amp;YEAR(Q123))</f>
        <v/>
      </c>
      <c r="S123" t="str">
        <v>Identificado</v>
      </c>
      <c r="T123" t="str">
        <v/>
      </c>
      <c r="U123" t="str">
        <v/>
      </c>
      <c r="V123" t="str">
        <v/>
      </c>
      <c r="W123" t="str">
        <v>Media</v>
      </c>
      <c r="X123" t="str">
        <v/>
      </c>
      <c r="Y123" t="str">
        <v/>
      </c>
      <c r="Z123" t="str">
        <v/>
      </c>
      <c r="AA123" t="str">
        <v/>
      </c>
      <c r="AB123" t="str">
        <v/>
      </c>
      <c r="AC123" t="str">
        <v/>
      </c>
    </row>
    <row r="124">
      <c r="A124" t="str">
        <v>HIST-0123</v>
      </c>
      <c r="B124" t="str">
        <v>D0087</v>
      </c>
      <c r="C124" t="str">
        <v>Plataforma de Integración</v>
      </c>
      <c r="D124" t="str">
        <v/>
      </c>
      <c r="E124" t="str">
        <v>Creación</v>
      </c>
      <c r="F124" t="str">
        <v/>
      </c>
      <c r="G124" t="str">
        <v/>
      </c>
      <c r="H124" t="str">
        <v/>
      </c>
      <c r="I124" t="str">
        <v/>
      </c>
      <c r="J124" t="str">
        <v/>
      </c>
      <c r="K124" t="str">
        <v>Edward Aviles Chabur</v>
      </c>
      <c r="L124" t="str">
        <v>App</v>
      </c>
      <c r="M124" t="str">
        <v>2026-04-08</v>
      </c>
      <c r="N124" t="str">
        <v/>
      </c>
      <c r="O124" t="str">
        <v/>
      </c>
      <c r="P124" t="str">
        <v/>
      </c>
      <c r="Q124" t="str">
        <v/>
      </c>
      <c r="R124" t="str">
        <f>IF(Q124="","","Q"&amp;ROUNDUP(MONTH(Q124)/3,0)&amp;"-"&amp;YEAR(Q124))</f>
        <v/>
      </c>
      <c r="S124" t="str">
        <v>Identificado</v>
      </c>
      <c r="T124" t="str">
        <v/>
      </c>
      <c r="U124" t="str">
        <v/>
      </c>
      <c r="V124" t="str">
        <v/>
      </c>
      <c r="W124" t="str">
        <v>Media</v>
      </c>
      <c r="X124" t="str">
        <v/>
      </c>
      <c r="Y124" t="str">
        <v/>
      </c>
      <c r="Z124" t="str">
        <v/>
      </c>
      <c r="AA124" t="str">
        <v/>
      </c>
      <c r="AB124" t="str">
        <v/>
      </c>
      <c r="AC124" t="str">
        <v/>
      </c>
    </row>
    <row r="125">
      <c r="A125" t="str">
        <v>HIST-0124</v>
      </c>
      <c r="B125" t="str">
        <v>D0088</v>
      </c>
      <c r="C125" t="str">
        <v>Plataforma de Integración</v>
      </c>
      <c r="D125" t="str">
        <v/>
      </c>
      <c r="E125" t="str">
        <v>Creación</v>
      </c>
      <c r="F125" t="str">
        <v/>
      </c>
      <c r="G125" t="str">
        <v/>
      </c>
      <c r="H125" t="str">
        <v/>
      </c>
      <c r="I125" t="str">
        <v/>
      </c>
      <c r="J125" t="str">
        <v/>
      </c>
      <c r="K125" t="str">
        <v>Edward Aviles Chabur</v>
      </c>
      <c r="L125" t="str">
        <v>App</v>
      </c>
      <c r="M125" t="str">
        <v>2026-03-30</v>
      </c>
      <c r="N125" t="str">
        <v/>
      </c>
      <c r="O125" t="str">
        <v/>
      </c>
      <c r="P125" t="str">
        <v/>
      </c>
      <c r="Q125" t="str">
        <v/>
      </c>
      <c r="R125" t="str">
        <f>IF(Q125="","","Q"&amp;ROUNDUP(MONTH(Q125)/3,0)&amp;"-"&amp;YEAR(Q125))</f>
        <v/>
      </c>
      <c r="S125" t="str">
        <v>Identificado</v>
      </c>
      <c r="T125" t="str">
        <v/>
      </c>
      <c r="U125" t="str">
        <v/>
      </c>
      <c r="V125" t="str">
        <v/>
      </c>
      <c r="W125" t="str">
        <v>Media</v>
      </c>
      <c r="X125" t="str">
        <v/>
      </c>
      <c r="Y125" t="str">
        <v/>
      </c>
      <c r="Z125" t="str">
        <v/>
      </c>
      <c r="AA125" t="str">
        <v/>
      </c>
      <c r="AB125" t="str">
        <v/>
      </c>
      <c r="AC125" t="str">
        <v/>
      </c>
    </row>
    <row r="126">
      <c r="A126" t="str">
        <v>HIST-0125</v>
      </c>
      <c r="B126" t="str">
        <v>D0089</v>
      </c>
      <c r="C126" t="str">
        <v>Plataforma de Integración</v>
      </c>
      <c r="D126" t="str">
        <v/>
      </c>
      <c r="E126" t="str">
        <v>Creación</v>
      </c>
      <c r="F126" t="str">
        <v/>
      </c>
      <c r="G126" t="str">
        <v/>
      </c>
      <c r="H126" t="str">
        <v/>
      </c>
      <c r="I126" t="str">
        <v/>
      </c>
      <c r="J126" t="str">
        <v/>
      </c>
      <c r="K126" t="str">
        <v>Edward Aviles Chabur</v>
      </c>
      <c r="L126" t="str">
        <v>App</v>
      </c>
      <c r="M126" t="str">
        <v>2026-03-30</v>
      </c>
      <c r="N126" t="str">
        <v/>
      </c>
      <c r="O126" t="str">
        <v/>
      </c>
      <c r="P126" t="str">
        <v/>
      </c>
      <c r="Q126" t="str">
        <v/>
      </c>
      <c r="R126" t="str">
        <f>IF(Q126="","","Q"&amp;ROUNDUP(MONTH(Q126)/3,0)&amp;"-"&amp;YEAR(Q126))</f>
        <v/>
      </c>
      <c r="S126" t="str">
        <v>Identificado</v>
      </c>
      <c r="T126" t="str">
        <v/>
      </c>
      <c r="U126" t="str">
        <v/>
      </c>
      <c r="V126" t="str">
        <v/>
      </c>
      <c r="W126" t="str">
        <v>Baja</v>
      </c>
      <c r="X126" t="str">
        <v/>
      </c>
      <c r="Y126" t="str">
        <v/>
      </c>
      <c r="Z126" t="str">
        <v/>
      </c>
      <c r="AA126" t="str">
        <v/>
      </c>
      <c r="AB126" t="str">
        <v/>
      </c>
      <c r="AC126" t="str">
        <v/>
      </c>
    </row>
    <row r="127">
      <c r="A127" t="str">
        <v>HIST-0126</v>
      </c>
      <c r="B127" t="str">
        <v>D0090</v>
      </c>
      <c r="C127" t="str">
        <v>Plataforma de Integración</v>
      </c>
      <c r="D127" t="str">
        <v/>
      </c>
      <c r="E127" t="str">
        <v>Creación</v>
      </c>
      <c r="F127" t="str">
        <v/>
      </c>
      <c r="G127" t="str">
        <v/>
      </c>
      <c r="H127" t="str">
        <v/>
      </c>
      <c r="I127" t="str">
        <v/>
      </c>
      <c r="J127" t="str">
        <v/>
      </c>
      <c r="K127" t="str">
        <v>Edward Aviles Chabur</v>
      </c>
      <c r="L127" t="str">
        <v>App</v>
      </c>
      <c r="M127" t="str">
        <v>2026-03-30</v>
      </c>
      <c r="N127" t="str">
        <v/>
      </c>
      <c r="O127" t="str">
        <v/>
      </c>
      <c r="P127" t="str">
        <v/>
      </c>
      <c r="Q127" t="str">
        <v/>
      </c>
      <c r="R127" t="str">
        <f>IF(Q127="","","Q"&amp;ROUNDUP(MONTH(Q127)/3,0)&amp;"-"&amp;YEAR(Q127))</f>
        <v/>
      </c>
      <c r="S127" t="str">
        <v>Identificado</v>
      </c>
      <c r="T127" t="str">
        <v/>
      </c>
      <c r="U127" t="str">
        <v/>
      </c>
      <c r="V127" t="str">
        <v/>
      </c>
      <c r="W127" t="str">
        <v>Alta</v>
      </c>
      <c r="X127" t="str">
        <v/>
      </c>
      <c r="Y127" t="str">
        <v/>
      </c>
      <c r="Z127" t="str">
        <v/>
      </c>
      <c r="AA127" t="str">
        <v/>
      </c>
      <c r="AB127" t="str">
        <v/>
      </c>
      <c r="AC127" t="str">
        <v/>
      </c>
    </row>
    <row r="128">
      <c r="A128" t="str">
        <v>HIST-0127</v>
      </c>
      <c r="B128" t="str">
        <v>D0091</v>
      </c>
      <c r="C128" t="str">
        <v>Plataforma de Integración</v>
      </c>
      <c r="D128" t="str">
        <v/>
      </c>
      <c r="E128" t="str">
        <v>Creación</v>
      </c>
      <c r="F128" t="str">
        <v/>
      </c>
      <c r="G128" t="str">
        <v/>
      </c>
      <c r="H128" t="str">
        <v/>
      </c>
      <c r="I128" t="str">
        <v/>
      </c>
      <c r="J128" t="str">
        <v/>
      </c>
      <c r="K128" t="str">
        <v>Edward Aviles Chabur</v>
      </c>
      <c r="L128" t="str">
        <v>App</v>
      </c>
      <c r="M128" t="str">
        <v>2026-03-30</v>
      </c>
      <c r="N128" t="str">
        <v/>
      </c>
      <c r="O128" t="str">
        <v/>
      </c>
      <c r="P128" t="str">
        <v/>
      </c>
      <c r="Q128" t="str">
        <v/>
      </c>
      <c r="R128" t="str">
        <f>IF(Q128="","","Q"&amp;ROUNDUP(MONTH(Q128)/3,0)&amp;"-"&amp;YEAR(Q128))</f>
        <v/>
      </c>
      <c r="S128" t="str">
        <v>Identificado</v>
      </c>
      <c r="T128" t="str">
        <v/>
      </c>
      <c r="U128" t="str">
        <v/>
      </c>
      <c r="V128" t="str">
        <v/>
      </c>
      <c r="W128" t="str">
        <v>Alta</v>
      </c>
      <c r="X128" t="str">
        <v/>
      </c>
      <c r="Y128" t="str">
        <v/>
      </c>
      <c r="Z128" t="str">
        <v/>
      </c>
      <c r="AA128" t="str">
        <v/>
      </c>
      <c r="AB128" t="str">
        <v/>
      </c>
      <c r="AC128" t="str">
        <v/>
      </c>
    </row>
    <row r="129">
      <c r="A129" t="str">
        <v>HIST-0128</v>
      </c>
      <c r="B129" t="str">
        <v>D0092</v>
      </c>
      <c r="C129" t="str">
        <v>Plataforma de Integración</v>
      </c>
      <c r="D129" t="str">
        <v/>
      </c>
      <c r="E129" t="str">
        <v>Creación</v>
      </c>
      <c r="F129" t="str">
        <v/>
      </c>
      <c r="G129" t="str">
        <v/>
      </c>
      <c r="H129" t="str">
        <v/>
      </c>
      <c r="I129" t="str">
        <v/>
      </c>
      <c r="J129" t="str">
        <v/>
      </c>
      <c r="K129" t="str">
        <v>Edward Aviles Chabur</v>
      </c>
      <c r="L129" t="str">
        <v>App</v>
      </c>
      <c r="M129" t="str">
        <v>2026-03-30</v>
      </c>
      <c r="N129" t="str">
        <v/>
      </c>
      <c r="O129" t="str">
        <v/>
      </c>
      <c r="P129" t="str">
        <v/>
      </c>
      <c r="Q129" t="str">
        <v/>
      </c>
      <c r="R129" t="str">
        <f>IF(Q129="","","Q"&amp;ROUNDUP(MONTH(Q129)/3,0)&amp;"-"&amp;YEAR(Q129))</f>
        <v/>
      </c>
      <c r="S129" t="str">
        <v>Identificado</v>
      </c>
      <c r="T129" t="str">
        <v/>
      </c>
      <c r="U129" t="str">
        <v/>
      </c>
      <c r="V129" t="str">
        <v/>
      </c>
      <c r="W129" t="str">
        <v>Media</v>
      </c>
      <c r="X129" t="str">
        <v/>
      </c>
      <c r="Y129" t="str">
        <v/>
      </c>
      <c r="Z129" t="str">
        <v/>
      </c>
      <c r="AA129" t="str">
        <v/>
      </c>
      <c r="AB129" t="str">
        <v/>
      </c>
      <c r="AC129" t="str">
        <v/>
      </c>
    </row>
    <row r="130">
      <c r="A130" t="str">
        <v>HIST-0129</v>
      </c>
      <c r="B130" t="str">
        <v>D0093</v>
      </c>
      <c r="C130" t="str">
        <v>Plataforma de Integración</v>
      </c>
      <c r="D130" t="str">
        <v/>
      </c>
      <c r="E130" t="str">
        <v>Creación</v>
      </c>
      <c r="F130" t="str">
        <v/>
      </c>
      <c r="G130" t="str">
        <v/>
      </c>
      <c r="H130" t="str">
        <v/>
      </c>
      <c r="I130" t="str">
        <v/>
      </c>
      <c r="J130" t="str">
        <v/>
      </c>
      <c r="K130" t="str">
        <v>Edward Aviles Chabur</v>
      </c>
      <c r="L130" t="str">
        <v>App</v>
      </c>
      <c r="M130" t="str">
        <v>2026-03-30</v>
      </c>
      <c r="N130" t="str">
        <v/>
      </c>
      <c r="O130" t="str">
        <v/>
      </c>
      <c r="P130" t="str">
        <v/>
      </c>
      <c r="Q130" t="str">
        <v/>
      </c>
      <c r="R130" t="str">
        <f>IF(Q130="","","Q"&amp;ROUNDUP(MONTH(Q130)/3,0)&amp;"-"&amp;YEAR(Q130))</f>
        <v/>
      </c>
      <c r="S130" t="str">
        <v>Identificado</v>
      </c>
      <c r="T130" t="str">
        <v/>
      </c>
      <c r="U130" t="str">
        <v/>
      </c>
      <c r="V130" t="str">
        <v/>
      </c>
      <c r="W130" t="str">
        <v>Media</v>
      </c>
      <c r="X130" t="str">
        <v/>
      </c>
      <c r="Y130" t="str">
        <v/>
      </c>
      <c r="Z130" t="str">
        <v/>
      </c>
      <c r="AA130" t="str">
        <v/>
      </c>
      <c r="AB130" t="str">
        <v/>
      </c>
      <c r="AC130" t="str">
        <v/>
      </c>
    </row>
    <row r="131">
      <c r="A131" t="str">
        <v>HIST-0130</v>
      </c>
      <c r="B131" t="str">
        <v>D0094</v>
      </c>
      <c r="C131" t="str">
        <v>Plataforma de Integración</v>
      </c>
      <c r="D131" t="str">
        <v/>
      </c>
      <c r="E131" t="str">
        <v>Creación</v>
      </c>
      <c r="F131" t="str">
        <v/>
      </c>
      <c r="G131" t="str">
        <v/>
      </c>
      <c r="H131" t="str">
        <v/>
      </c>
      <c r="I131" t="str">
        <v/>
      </c>
      <c r="J131" t="str">
        <v/>
      </c>
      <c r="K131" t="str">
        <v>Edward Aviles Chabur</v>
      </c>
      <c r="L131" t="str">
        <v>App</v>
      </c>
      <c r="M131" t="str">
        <v>2026-03-30</v>
      </c>
      <c r="N131" t="str">
        <v/>
      </c>
      <c r="O131" t="str">
        <v/>
      </c>
      <c r="P131" t="str">
        <v/>
      </c>
      <c r="Q131" t="str">
        <v/>
      </c>
      <c r="R131" t="str">
        <f>IF(Q131="","","Q"&amp;ROUNDUP(MONTH(Q131)/3,0)&amp;"-"&amp;YEAR(Q131))</f>
        <v/>
      </c>
      <c r="S131" t="str">
        <v>Identificado</v>
      </c>
      <c r="T131" t="str">
        <v/>
      </c>
      <c r="U131" t="str">
        <v/>
      </c>
      <c r="V131" t="str">
        <v/>
      </c>
      <c r="W131" t="str">
        <v>Alta</v>
      </c>
      <c r="X131" t="str">
        <v/>
      </c>
      <c r="Y131" t="str">
        <v/>
      </c>
      <c r="Z131" t="str">
        <v/>
      </c>
      <c r="AA131" t="str">
        <v/>
      </c>
      <c r="AB131" t="str">
        <v/>
      </c>
      <c r="AC131" t="str">
        <v/>
      </c>
    </row>
    <row r="132">
      <c r="A132" t="str">
        <v>HIST-0131</v>
      </c>
      <c r="B132" t="str">
        <v>D0095</v>
      </c>
      <c r="C132" t="str">
        <v>Plataforma de Integración</v>
      </c>
      <c r="D132" t="str">
        <v/>
      </c>
      <c r="E132" t="str">
        <v>Creación</v>
      </c>
      <c r="F132" t="str">
        <v/>
      </c>
      <c r="G132" t="str">
        <v/>
      </c>
      <c r="H132" t="str">
        <v/>
      </c>
      <c r="I132" t="str">
        <v/>
      </c>
      <c r="J132" t="str">
        <v/>
      </c>
      <c r="K132" t="str">
        <v>Edward Aviles Chabur</v>
      </c>
      <c r="L132" t="str">
        <v>App</v>
      </c>
      <c r="M132" t="str">
        <v>2026-03-30</v>
      </c>
      <c r="N132" t="str">
        <v/>
      </c>
      <c r="O132" t="str">
        <v/>
      </c>
      <c r="P132" t="str">
        <v/>
      </c>
      <c r="Q132" t="str">
        <v/>
      </c>
      <c r="R132" t="str">
        <f>IF(Q132="","","Q"&amp;ROUNDUP(MONTH(Q132)/3,0)&amp;"-"&amp;YEAR(Q132))</f>
        <v/>
      </c>
      <c r="S132" t="str">
        <v>Identificado</v>
      </c>
      <c r="T132" t="str">
        <v/>
      </c>
      <c r="U132" t="str">
        <v/>
      </c>
      <c r="V132" t="str">
        <v/>
      </c>
      <c r="W132" t="str">
        <v>Baja</v>
      </c>
      <c r="X132" t="str">
        <v/>
      </c>
      <c r="Y132" t="str">
        <v/>
      </c>
      <c r="Z132" t="str">
        <v/>
      </c>
      <c r="AA132" t="str">
        <v/>
      </c>
      <c r="AB132" t="str">
        <v/>
      </c>
      <c r="AC132" t="str">
        <v/>
      </c>
    </row>
    <row r="133">
      <c r="A133" t="str">
        <v>HIST-0132</v>
      </c>
      <c r="B133" t="str">
        <v>D0096</v>
      </c>
      <c r="C133" t="str">
        <v>Plataforma de Integración</v>
      </c>
      <c r="D133" t="str">
        <v/>
      </c>
      <c r="E133" t="str">
        <v>Creación</v>
      </c>
      <c r="F133" t="str">
        <v/>
      </c>
      <c r="G133" t="str">
        <v/>
      </c>
      <c r="H133" t="str">
        <v/>
      </c>
      <c r="I133" t="str">
        <v/>
      </c>
      <c r="J133" t="str">
        <v/>
      </c>
      <c r="K133" t="str">
        <v>Edward Aviles Chabur</v>
      </c>
      <c r="L133" t="str">
        <v>App</v>
      </c>
      <c r="M133" t="str">
        <v>2026-03-30</v>
      </c>
      <c r="N133" t="str">
        <v/>
      </c>
      <c r="O133" t="str">
        <v/>
      </c>
      <c r="P133" t="str">
        <v/>
      </c>
      <c r="Q133" t="str">
        <v/>
      </c>
      <c r="R133" t="str">
        <f>IF(Q133="","","Q"&amp;ROUNDUP(MONTH(Q133)/3,0)&amp;"-"&amp;YEAR(Q133))</f>
        <v/>
      </c>
      <c r="S133" t="str">
        <v>Identificado</v>
      </c>
      <c r="T133" t="str">
        <v/>
      </c>
      <c r="U133" t="str">
        <v/>
      </c>
      <c r="V133" t="str">
        <v/>
      </c>
      <c r="W133" t="str">
        <v>Baja</v>
      </c>
      <c r="X133" t="str">
        <v/>
      </c>
      <c r="Y133" t="str">
        <v/>
      </c>
      <c r="Z133" t="str">
        <v/>
      </c>
      <c r="AA133" t="str">
        <v/>
      </c>
      <c r="AB133" t="str">
        <v/>
      </c>
      <c r="AC133" t="str">
        <v/>
      </c>
    </row>
    <row r="134">
      <c r="A134" t="str">
        <v>HIST-0133</v>
      </c>
      <c r="B134" t="str">
        <v>D0097</v>
      </c>
      <c r="C134" t="str">
        <v>Plataforma de Integración</v>
      </c>
      <c r="D134" t="str">
        <v/>
      </c>
      <c r="E134" t="str">
        <v>Creación</v>
      </c>
      <c r="F134" t="str">
        <v/>
      </c>
      <c r="G134" t="str">
        <v/>
      </c>
      <c r="H134" t="str">
        <v/>
      </c>
      <c r="I134" t="str">
        <v/>
      </c>
      <c r="J134" t="str">
        <v/>
      </c>
      <c r="K134" t="str">
        <v>Edward Aviles Chabur</v>
      </c>
      <c r="L134" t="str">
        <v>App</v>
      </c>
      <c r="M134" t="str">
        <v>2026-04-07</v>
      </c>
      <c r="N134" t="str">
        <v/>
      </c>
      <c r="O134" t="str">
        <v/>
      </c>
      <c r="P134" t="str">
        <v/>
      </c>
      <c r="Q134" t="str">
        <v/>
      </c>
      <c r="R134" t="str">
        <f>IF(Q134="","","Q"&amp;ROUNDUP(MONTH(Q134)/3,0)&amp;"-"&amp;YEAR(Q134))</f>
        <v/>
      </c>
      <c r="S134" t="str">
        <v>Identificado</v>
      </c>
      <c r="T134" t="str">
        <v/>
      </c>
      <c r="U134" t="str">
        <v/>
      </c>
      <c r="V134" t="str">
        <v/>
      </c>
      <c r="W134" t="str">
        <v>Media</v>
      </c>
      <c r="X134" t="str">
        <v/>
      </c>
      <c r="Y134" t="str">
        <v/>
      </c>
      <c r="Z134" t="str">
        <v/>
      </c>
      <c r="AA134" t="str">
        <v/>
      </c>
      <c r="AB134" t="str">
        <v/>
      </c>
      <c r="AC134" t="str">
        <v/>
      </c>
    </row>
    <row r="135">
      <c r="A135" t="str">
        <v>HIST-0134</v>
      </c>
      <c r="B135" t="str">
        <v>D0098</v>
      </c>
      <c r="C135" t="str">
        <v>Plataforma de Integración</v>
      </c>
      <c r="D135" t="str">
        <v/>
      </c>
      <c r="E135" t="str">
        <v>Creación</v>
      </c>
      <c r="F135" t="str">
        <v/>
      </c>
      <c r="G135" t="str">
        <v/>
      </c>
      <c r="H135" t="str">
        <v/>
      </c>
      <c r="I135" t="str">
        <v/>
      </c>
      <c r="J135" t="str">
        <v/>
      </c>
      <c r="K135" t="str">
        <v>Edward Aviles Chabur</v>
      </c>
      <c r="L135" t="str">
        <v>App</v>
      </c>
      <c r="M135" t="str">
        <v>2026-04-07</v>
      </c>
      <c r="N135" t="str">
        <v/>
      </c>
      <c r="O135" t="str">
        <v/>
      </c>
      <c r="P135" t="str">
        <v/>
      </c>
      <c r="Q135" t="str">
        <v/>
      </c>
      <c r="R135" t="str">
        <f>IF(Q135="","","Q"&amp;ROUNDUP(MONTH(Q135)/3,0)&amp;"-"&amp;YEAR(Q135))</f>
        <v/>
      </c>
      <c r="S135" t="str">
        <v>Identificado</v>
      </c>
      <c r="T135" t="str">
        <v/>
      </c>
      <c r="U135" t="str">
        <v/>
      </c>
      <c r="V135" t="str">
        <v/>
      </c>
      <c r="W135" t="str">
        <v>Media</v>
      </c>
      <c r="X135" t="str">
        <v/>
      </c>
      <c r="Y135" t="str">
        <v/>
      </c>
      <c r="Z135" t="str">
        <v/>
      </c>
      <c r="AA135" t="str">
        <v/>
      </c>
      <c r="AB135" t="str">
        <v/>
      </c>
      <c r="AC135" t="str">
        <v/>
      </c>
    </row>
    <row r="136">
      <c r="A136" t="str">
        <v>HIST-0135</v>
      </c>
      <c r="B136" t="str">
        <v>D0099</v>
      </c>
      <c r="C136" t="str">
        <v>Solución de Cobranzas (DC&amp;RS)</v>
      </c>
      <c r="D136" t="str">
        <v/>
      </c>
      <c r="E136" t="str">
        <v>Modificación</v>
      </c>
      <c r="F136" t="str">
        <v/>
      </c>
      <c r="G136" t="str">
        <v>Augusto Cabrera / Henry Aguinaga</v>
      </c>
      <c r="H136" t="str">
        <v/>
      </c>
      <c r="I136" t="str">
        <v>Carlos Sotomayor</v>
      </c>
      <c r="J136" t="str">
        <v>Gustavo Ramos</v>
      </c>
      <c r="K136" t="str">
        <v>Roberto Duarez</v>
      </c>
      <c r="L136" t="str">
        <v/>
      </c>
      <c r="M136" t="str">
        <v>2026-07-07</v>
      </c>
      <c r="N136" t="str">
        <v/>
      </c>
      <c r="O136" t="str">
        <v/>
      </c>
      <c r="P136" t="str">
        <v/>
      </c>
      <c r="Q136" t="str">
        <v>TBD</v>
      </c>
      <c r="R136" t="str">
        <f>IF(Q136="","","Q"&amp;ROUNDUP(MONTH(Q136)/3,0)&amp;"-"&amp;YEAR(Q136))</f>
        <v/>
      </c>
      <c r="S136" t="str">
        <v>Identificado</v>
      </c>
      <c r="T136" t="str">
        <v/>
      </c>
      <c r="U136" t="str">
        <v/>
      </c>
      <c r="V136" t="str">
        <v/>
      </c>
      <c r="W136" t="str">
        <v>Alta</v>
      </c>
      <c r="X136" t="str">
        <v/>
      </c>
      <c r="Y136" t="str">
        <v/>
      </c>
      <c r="Z136" t="str">
        <v/>
      </c>
      <c r="AA136" t="str">
        <v/>
      </c>
      <c r="AB136" t="str">
        <v/>
      </c>
      <c r="AC136" t="str">
        <v>Proyecto en negociaciones con proveedor, se contratará un Arquitecto para hacer el diseño, Interconexion entregará esta API en Q4</v>
      </c>
    </row>
    <row r="137">
      <c r="A137" t="str">
        <v>HIST-0136</v>
      </c>
      <c r="B137" t="str">
        <v>D0100</v>
      </c>
      <c r="C137" t="str">
        <v>Solución de Cobranzas (DC&amp;RS)</v>
      </c>
      <c r="D137" t="str">
        <v/>
      </c>
      <c r="E137" t="str">
        <v/>
      </c>
      <c r="F137" t="str">
        <v/>
      </c>
      <c r="G137" t="str">
        <v>Augusto Cabrera / Henry Aguinaga</v>
      </c>
      <c r="H137" t="str">
        <v/>
      </c>
      <c r="I137" t="str">
        <v>Carlos Sotomayor</v>
      </c>
      <c r="J137" t="str">
        <v>Gustavo Ramos</v>
      </c>
      <c r="K137" t="str">
        <v>Roberto Duarez</v>
      </c>
      <c r="L137" t="str">
        <v/>
      </c>
      <c r="M137" t="str">
        <v>2026-07-07</v>
      </c>
      <c r="N137" t="str">
        <v/>
      </c>
      <c r="O137" t="str">
        <v/>
      </c>
      <c r="P137" t="str">
        <v/>
      </c>
      <c r="Q137" t="str">
        <v>TBD</v>
      </c>
      <c r="R137" t="str">
        <f>IF(Q137="","","Q"&amp;ROUNDUP(MONTH(Q137)/3,0)&amp;"-"&amp;YEAR(Q137))</f>
        <v/>
      </c>
      <c r="S137" t="str">
        <v>Identificado</v>
      </c>
      <c r="T137" t="str">
        <v/>
      </c>
      <c r="U137" t="str">
        <v/>
      </c>
      <c r="V137" t="str">
        <v/>
      </c>
      <c r="W137" t="str">
        <v>Alta</v>
      </c>
      <c r="X137" t="str">
        <v/>
      </c>
      <c r="Y137" t="str">
        <v/>
      </c>
      <c r="Z137" t="str">
        <v/>
      </c>
      <c r="AA137" t="str">
        <v/>
      </c>
      <c r="AB137" t="str">
        <v/>
      </c>
      <c r="AC137" t="str">
        <v>Proyecto en negociaciones con proveedor, se contratará un Arquitecto para hacer el diseño</v>
      </c>
    </row>
    <row r="138">
      <c r="A138" t="str">
        <v>HIST-0137</v>
      </c>
      <c r="B138" t="str">
        <v>D0101</v>
      </c>
      <c r="C138" t="str">
        <v>Solución de Cobranzas (DC&amp;RS)</v>
      </c>
      <c r="D138" t="str">
        <v/>
      </c>
      <c r="E138" t="str">
        <v/>
      </c>
      <c r="F138" t="str">
        <v/>
      </c>
      <c r="G138" t="str">
        <v>Augusto Cabrera / Henry Aguinaga</v>
      </c>
      <c r="H138" t="str">
        <v/>
      </c>
      <c r="I138" t="str">
        <v>Carlos Sotomayor</v>
      </c>
      <c r="J138" t="str">
        <v>Gustavo Ramos</v>
      </c>
      <c r="K138" t="str">
        <v>Roberto Duarez</v>
      </c>
      <c r="L138" t="str">
        <v/>
      </c>
      <c r="M138" t="str">
        <v>2026-07-07</v>
      </c>
      <c r="N138" t="str">
        <v/>
      </c>
      <c r="O138" t="str">
        <v/>
      </c>
      <c r="P138" t="str">
        <v/>
      </c>
      <c r="Q138" t="str">
        <v>TBD</v>
      </c>
      <c r="R138" t="str">
        <f>IF(Q138="","","Q"&amp;ROUNDUP(MONTH(Q138)/3,0)&amp;"-"&amp;YEAR(Q138))</f>
        <v/>
      </c>
      <c r="S138" t="str">
        <v>Identificado</v>
      </c>
      <c r="T138" t="str">
        <v/>
      </c>
      <c r="U138" t="str">
        <v/>
      </c>
      <c r="V138" t="str">
        <v/>
      </c>
      <c r="W138" t="str">
        <v>Alta</v>
      </c>
      <c r="X138" t="str">
        <v/>
      </c>
      <c r="Y138" t="str">
        <v/>
      </c>
      <c r="Z138" t="str">
        <v/>
      </c>
      <c r="AA138" t="str">
        <v/>
      </c>
      <c r="AB138" t="str">
        <v/>
      </c>
      <c r="AC138" t="str">
        <v>Proyecto en negociaciones con proveedor, se contratará un Arquitecto para hacer el diseño</v>
      </c>
    </row>
    <row r="139">
      <c r="A139" t="str">
        <v>HIST-0138</v>
      </c>
      <c r="B139" t="str">
        <v>D0006</v>
      </c>
      <c r="C139" t="str">
        <v>Solución de Cobranzas (DC&amp;RS)</v>
      </c>
      <c r="D139" t="str">
        <v/>
      </c>
      <c r="E139" t="str">
        <v/>
      </c>
      <c r="F139" t="str">
        <v/>
      </c>
      <c r="G139" t="str">
        <v>Augusto Cabrera / Henry Aguinaga</v>
      </c>
      <c r="H139" t="str">
        <v/>
      </c>
      <c r="I139" t="str">
        <v>Carlos Sotomayor</v>
      </c>
      <c r="J139" t="str">
        <v>Gustavo Ramos</v>
      </c>
      <c r="K139" t="str">
        <v>Roberto Duarez</v>
      </c>
      <c r="L139" t="str">
        <v/>
      </c>
      <c r="M139" t="str">
        <v>2026-07-07</v>
      </c>
      <c r="N139" t="str">
        <v/>
      </c>
      <c r="O139" t="str">
        <v/>
      </c>
      <c r="P139" t="str">
        <v/>
      </c>
      <c r="Q139" t="str">
        <v>TBD</v>
      </c>
      <c r="R139" t="str">
        <f>IF(Q139="","","Q"&amp;ROUNDUP(MONTH(Q139)/3,0)&amp;"-"&amp;YEAR(Q139))</f>
        <v/>
      </c>
      <c r="S139" t="str">
        <v>Identificado</v>
      </c>
      <c r="T139" t="str">
        <v/>
      </c>
      <c r="U139" t="str">
        <v/>
      </c>
      <c r="V139" t="str">
        <v/>
      </c>
      <c r="W139" t="str">
        <v>Alta</v>
      </c>
      <c r="X139" t="str">
        <v/>
      </c>
      <c r="Y139" t="str">
        <v/>
      </c>
      <c r="Z139" t="str">
        <v/>
      </c>
      <c r="AA139" t="str">
        <v/>
      </c>
      <c r="AB139" t="str">
        <v/>
      </c>
      <c r="AC139" t="str">
        <v>Proyecto en negociaciones con proveedor, se contratará un Arquitecto para hacer el diseño</v>
      </c>
    </row>
    <row r="140">
      <c r="A140" t="str">
        <v>HIST-0139</v>
      </c>
      <c r="B140" t="str">
        <v>D0001</v>
      </c>
      <c r="C140" t="str">
        <v>Solución de Cobranzas (DC&amp;RS)</v>
      </c>
      <c r="D140" t="str">
        <v/>
      </c>
      <c r="E140" t="str">
        <v/>
      </c>
      <c r="F140" t="str">
        <v/>
      </c>
      <c r="G140" t="str">
        <v>Augusto Cabrera / Henry Aguinaga</v>
      </c>
      <c r="H140" t="str">
        <v/>
      </c>
      <c r="I140" t="str">
        <v>Carlos Sotomayor</v>
      </c>
      <c r="J140" t="str">
        <v>Gustavo Ramos</v>
      </c>
      <c r="K140" t="str">
        <v>Roberto Duarez</v>
      </c>
      <c r="L140" t="str">
        <v/>
      </c>
      <c r="M140" t="str">
        <v>2026-07-07</v>
      </c>
      <c r="N140" t="str">
        <v/>
      </c>
      <c r="O140" t="str">
        <v/>
      </c>
      <c r="P140" t="str">
        <v/>
      </c>
      <c r="Q140" t="str">
        <v>TBD</v>
      </c>
      <c r="R140" t="str">
        <f>IF(Q140="","","Q"&amp;ROUNDUP(MONTH(Q140)/3,0)&amp;"-"&amp;YEAR(Q140))</f>
        <v/>
      </c>
      <c r="S140" t="str">
        <v>Identificado</v>
      </c>
      <c r="T140" t="str">
        <v/>
      </c>
      <c r="U140" t="str">
        <v/>
      </c>
      <c r="V140" t="str">
        <v/>
      </c>
      <c r="W140" t="str">
        <v>Alta</v>
      </c>
      <c r="X140" t="str">
        <v/>
      </c>
      <c r="Y140" t="str">
        <v/>
      </c>
      <c r="Z140" t="str">
        <v/>
      </c>
      <c r="AA140" t="str">
        <v/>
      </c>
      <c r="AB140" t="str">
        <v/>
      </c>
      <c r="AC140" t="str">
        <v>Proyecto en negociaciones con proveedor, se contratará un Arquitecto para hacer el diseño</v>
      </c>
    </row>
    <row r="141">
      <c r="A141" t="str">
        <v>HIST-0140</v>
      </c>
      <c r="B141" t="str">
        <v>D0029</v>
      </c>
      <c r="C141" t="str">
        <v>Solución de Cobranzas (DC&amp;RS)</v>
      </c>
      <c r="D141" t="str">
        <v/>
      </c>
      <c r="E141" t="str">
        <v/>
      </c>
      <c r="F141" t="str">
        <v/>
      </c>
      <c r="G141" t="str">
        <v>Augusto Cabrera / Henry Aguinaga</v>
      </c>
      <c r="H141" t="str">
        <v/>
      </c>
      <c r="I141" t="str">
        <v>Carlos Sotomayor</v>
      </c>
      <c r="J141" t="str">
        <v>Gustavo Ramos</v>
      </c>
      <c r="K141" t="str">
        <v>Roberto Duarez</v>
      </c>
      <c r="L141" t="str">
        <v/>
      </c>
      <c r="M141" t="str">
        <v>2026-07-07</v>
      </c>
      <c r="N141" t="str">
        <v/>
      </c>
      <c r="O141" t="str">
        <v/>
      </c>
      <c r="P141" t="str">
        <v/>
      </c>
      <c r="Q141" t="str">
        <v>TBD</v>
      </c>
      <c r="R141" t="str">
        <f>IF(Q141="","","Q"&amp;ROUNDUP(MONTH(Q141)/3,0)&amp;"-"&amp;YEAR(Q141))</f>
        <v/>
      </c>
      <c r="S141" t="str">
        <v>Identificado</v>
      </c>
      <c r="T141" t="str">
        <v/>
      </c>
      <c r="U141" t="str">
        <v/>
      </c>
      <c r="V141" t="str">
        <v/>
      </c>
      <c r="W141" t="str">
        <v>Alta</v>
      </c>
      <c r="X141" t="str">
        <v/>
      </c>
      <c r="Y141" t="str">
        <v/>
      </c>
      <c r="Z141" t="str">
        <v/>
      </c>
      <c r="AA141" t="str">
        <v/>
      </c>
      <c r="AB141" t="str">
        <v/>
      </c>
      <c r="AC141" t="str">
        <v>Proyecto en negociaciones con proveedor, se contratará un Arquitecto para hacer el diseño</v>
      </c>
    </row>
    <row r="142">
      <c r="A142" t="str">
        <v>HIST-0141</v>
      </c>
      <c r="B142" t="str">
        <v>D0031</v>
      </c>
      <c r="C142" t="str">
        <v>Solución de Cobranzas (DC&amp;RS)</v>
      </c>
      <c r="D142" t="str">
        <v/>
      </c>
      <c r="E142" t="str">
        <v/>
      </c>
      <c r="F142" t="str">
        <v/>
      </c>
      <c r="G142" t="str">
        <v>Augusto Cabrera / Henry Aguinaga</v>
      </c>
      <c r="H142" t="str">
        <v/>
      </c>
      <c r="I142" t="str">
        <v>Carlos Sotomayor</v>
      </c>
      <c r="J142" t="str">
        <v>Gustavo Ramos</v>
      </c>
      <c r="K142" t="str">
        <v>Roberto Duarez</v>
      </c>
      <c r="L142" t="str">
        <v/>
      </c>
      <c r="M142" t="str">
        <v>2026-07-07</v>
      </c>
      <c r="N142" t="str">
        <v/>
      </c>
      <c r="O142" t="str">
        <v/>
      </c>
      <c r="P142" t="str">
        <v/>
      </c>
      <c r="Q142" t="str">
        <v>TBD</v>
      </c>
      <c r="R142" t="str">
        <f>IF(Q142="","","Q"&amp;ROUNDUP(MONTH(Q142)/3,0)&amp;"-"&amp;YEAR(Q142))</f>
        <v/>
      </c>
      <c r="S142" t="str">
        <v>Identificado</v>
      </c>
      <c r="T142" t="str">
        <v/>
      </c>
      <c r="U142" t="str">
        <v/>
      </c>
      <c r="V142" t="str">
        <v/>
      </c>
      <c r="W142" t="str">
        <v>Alta</v>
      </c>
      <c r="X142" t="str">
        <v/>
      </c>
      <c r="Y142" t="str">
        <v/>
      </c>
      <c r="Z142" t="str">
        <v/>
      </c>
      <c r="AA142" t="str">
        <v/>
      </c>
      <c r="AB142" t="str">
        <v/>
      </c>
      <c r="AC142" t="str">
        <v>Proyecto en negociaciones con proveedor, se contratará un Arquitecto para hacer el diseño</v>
      </c>
    </row>
    <row r="143">
      <c r="A143" t="str">
        <v>HIST-0142</v>
      </c>
      <c r="B143" t="str">
        <v>D0036</v>
      </c>
      <c r="C143" t="str">
        <v>Solución de Cobranzas (DC&amp;RS)</v>
      </c>
      <c r="D143" t="str">
        <v/>
      </c>
      <c r="E143" t="str">
        <v/>
      </c>
      <c r="F143" t="str">
        <v/>
      </c>
      <c r="G143" t="str">
        <v>Augusto Cabrera / Henry Aguinaga</v>
      </c>
      <c r="H143" t="str">
        <v/>
      </c>
      <c r="I143" t="str">
        <v>Carlos Sotomayor</v>
      </c>
      <c r="J143" t="str">
        <v>Gustavo Ramos</v>
      </c>
      <c r="K143" t="str">
        <v>Roberto Duarez</v>
      </c>
      <c r="L143" t="str">
        <v/>
      </c>
      <c r="M143" t="str">
        <v>2026-07-07</v>
      </c>
      <c r="N143" t="str">
        <v/>
      </c>
      <c r="O143" t="str">
        <v/>
      </c>
      <c r="P143" t="str">
        <v/>
      </c>
      <c r="Q143" t="str">
        <v>TBD</v>
      </c>
      <c r="R143" t="str">
        <f>IF(Q143="","","Q"&amp;ROUNDUP(MONTH(Q143)/3,0)&amp;"-"&amp;YEAR(Q143))</f>
        <v/>
      </c>
      <c r="S143" t="str">
        <v>Identificado</v>
      </c>
      <c r="T143" t="str">
        <v/>
      </c>
      <c r="U143" t="str">
        <v/>
      </c>
      <c r="V143" t="str">
        <v/>
      </c>
      <c r="W143" t="str">
        <v>Alta</v>
      </c>
      <c r="X143" t="str">
        <v/>
      </c>
      <c r="Y143" t="str">
        <v/>
      </c>
      <c r="Z143" t="str">
        <v/>
      </c>
      <c r="AA143" t="str">
        <v/>
      </c>
      <c r="AB143" t="str">
        <v/>
      </c>
      <c r="AC143" t="str">
        <v>Proyecto en negociaciones con proveedor, se contratará un Arquitecto para hacer el diseño</v>
      </c>
    </row>
    <row r="144">
      <c r="A144" t="str">
        <v>HIST-0143</v>
      </c>
      <c r="B144" t="str">
        <v>D0102</v>
      </c>
      <c r="C144" t="str">
        <v>Solución de Cobranzas (DC&amp;RS)</v>
      </c>
      <c r="D144" t="str">
        <v/>
      </c>
      <c r="E144" t="str">
        <v/>
      </c>
      <c r="F144" t="str">
        <v/>
      </c>
      <c r="G144" t="str">
        <v>Augusto Cabrera / Henry Aguinaga</v>
      </c>
      <c r="H144" t="str">
        <v/>
      </c>
      <c r="I144" t="str">
        <v>Carlos Sotomayor</v>
      </c>
      <c r="J144" t="str">
        <v>Gustavo Ramos</v>
      </c>
      <c r="K144" t="str">
        <v>Roberto Duarez</v>
      </c>
      <c r="L144" t="str">
        <v/>
      </c>
      <c r="M144" t="str">
        <v>2026-07-07</v>
      </c>
      <c r="N144" t="str">
        <v/>
      </c>
      <c r="O144" t="str">
        <v/>
      </c>
      <c r="P144" t="str">
        <v/>
      </c>
      <c r="Q144" t="str">
        <v>TBD</v>
      </c>
      <c r="R144" t="str">
        <f>IF(Q144="","","Q"&amp;ROUNDUP(MONTH(Q144)/3,0)&amp;"-"&amp;YEAR(Q144))</f>
        <v/>
      </c>
      <c r="S144" t="str">
        <v>Identificado</v>
      </c>
      <c r="T144" t="str">
        <v/>
      </c>
      <c r="U144" t="str">
        <v/>
      </c>
      <c r="V144" t="str">
        <v/>
      </c>
      <c r="W144" t="str">
        <v>Alta</v>
      </c>
      <c r="X144" t="str">
        <v/>
      </c>
      <c r="Y144" t="str">
        <v/>
      </c>
      <c r="Z144" t="str">
        <v/>
      </c>
      <c r="AA144" t="str">
        <v/>
      </c>
      <c r="AB144" t="str">
        <v/>
      </c>
      <c r="AC144" t="str">
        <v>Proyecto en negociaciones con proveedor, se contratará un Arquitecto para hacer el diseño</v>
      </c>
    </row>
    <row r="145">
      <c r="A145" t="str">
        <v>HIST-0144</v>
      </c>
      <c r="B145" t="str">
        <v>D0035</v>
      </c>
      <c r="C145" t="str">
        <v>Solución de Cobranzas (DC&amp;RS)</v>
      </c>
      <c r="D145" t="str">
        <v/>
      </c>
      <c r="E145" t="str">
        <v/>
      </c>
      <c r="F145" t="str">
        <v/>
      </c>
      <c r="G145" t="str">
        <v>Augusto Cabrera / Henry Aguinaga</v>
      </c>
      <c r="H145" t="str">
        <v/>
      </c>
      <c r="I145" t="str">
        <v>Carlos Sotomayor</v>
      </c>
      <c r="J145" t="str">
        <v>Gustavo Ramos</v>
      </c>
      <c r="K145" t="str">
        <v>Roberto Duarez</v>
      </c>
      <c r="L145" t="str">
        <v/>
      </c>
      <c r="M145" t="str">
        <v>2026-07-07</v>
      </c>
      <c r="N145" t="str">
        <v/>
      </c>
      <c r="O145" t="str">
        <v/>
      </c>
      <c r="P145" t="str">
        <v/>
      </c>
      <c r="Q145" t="str">
        <v>TBD</v>
      </c>
      <c r="R145" t="str">
        <f>IF(Q145="","","Q"&amp;ROUNDUP(MONTH(Q145)/3,0)&amp;"-"&amp;YEAR(Q145))</f>
        <v/>
      </c>
      <c r="S145" t="str">
        <v>Identificado</v>
      </c>
      <c r="T145" t="str">
        <v/>
      </c>
      <c r="U145" t="str">
        <v/>
      </c>
      <c r="V145" t="str">
        <v/>
      </c>
      <c r="W145" t="str">
        <v>Alta</v>
      </c>
      <c r="X145" t="str">
        <v/>
      </c>
      <c r="Y145" t="str">
        <v/>
      </c>
      <c r="Z145" t="str">
        <v/>
      </c>
      <c r="AA145" t="str">
        <v/>
      </c>
      <c r="AB145" t="str">
        <v/>
      </c>
      <c r="AC145" t="str">
        <v>Proyecto en negociaciones con proveedor, se contratará un Arquitecto para hacer el diseño</v>
      </c>
    </row>
    <row r="146">
      <c r="A146" t="str">
        <v>HIST-0145</v>
      </c>
      <c r="B146" t="str">
        <v>D0024</v>
      </c>
      <c r="C146" t="str">
        <v>Solución de Cobranzas (DC&amp;RS)</v>
      </c>
      <c r="D146" t="str">
        <v/>
      </c>
      <c r="E146" t="str">
        <v/>
      </c>
      <c r="F146" t="str">
        <v/>
      </c>
      <c r="G146" t="str">
        <v>Augusto Cabrera / Henry Aguinaga</v>
      </c>
      <c r="H146" t="str">
        <v/>
      </c>
      <c r="I146" t="str">
        <v>Carlos Sotomayor</v>
      </c>
      <c r="J146" t="str">
        <v>Gustavo Ramos</v>
      </c>
      <c r="K146" t="str">
        <v>Roberto Duarez</v>
      </c>
      <c r="L146" t="str">
        <v/>
      </c>
      <c r="M146" t="str">
        <v>2026-07-07</v>
      </c>
      <c r="N146" t="str">
        <v/>
      </c>
      <c r="O146" t="str">
        <v/>
      </c>
      <c r="P146" t="str">
        <v/>
      </c>
      <c r="Q146" t="str">
        <v>TBD</v>
      </c>
      <c r="R146" t="str">
        <f>IF(Q146="","","Q"&amp;ROUNDUP(MONTH(Q146)/3,0)&amp;"-"&amp;YEAR(Q146))</f>
        <v/>
      </c>
      <c r="S146" t="str">
        <v>Identificado</v>
      </c>
      <c r="T146" t="str">
        <v/>
      </c>
      <c r="U146" t="str">
        <v/>
      </c>
      <c r="V146" t="str">
        <v/>
      </c>
      <c r="W146" t="str">
        <v>Alta</v>
      </c>
      <c r="X146" t="str">
        <v/>
      </c>
      <c r="Y146" t="str">
        <v/>
      </c>
      <c r="Z146" t="str">
        <v/>
      </c>
      <c r="AA146" t="str">
        <v/>
      </c>
      <c r="AB146" t="str">
        <v/>
      </c>
      <c r="AC146" t="str">
        <v>Proyecto en negociaciones con proveedor, se contratará un Arquitecto para hacer el diseño</v>
      </c>
    </row>
    <row r="147">
      <c r="A147" t="str">
        <v>HIST-0146</v>
      </c>
      <c r="B147" t="str">
        <v>D0033</v>
      </c>
      <c r="C147" t="str">
        <v>Solución de Cobranzas (DC&amp;RS)</v>
      </c>
      <c r="D147" t="str">
        <v/>
      </c>
      <c r="E147" t="str">
        <v/>
      </c>
      <c r="F147" t="str">
        <v/>
      </c>
      <c r="G147" t="str">
        <v>Augusto Cabrera / Henry Aguinaga</v>
      </c>
      <c r="H147" t="str">
        <v/>
      </c>
      <c r="I147" t="str">
        <v>Carlos Sotomayor</v>
      </c>
      <c r="J147" t="str">
        <v>Gustavo Ramos</v>
      </c>
      <c r="K147" t="str">
        <v>Roberto Duarez</v>
      </c>
      <c r="L147" t="str">
        <v/>
      </c>
      <c r="M147" t="str">
        <v>2026-07-07</v>
      </c>
      <c r="N147" t="str">
        <v/>
      </c>
      <c r="O147" t="str">
        <v/>
      </c>
      <c r="P147" t="str">
        <v/>
      </c>
      <c r="Q147" t="str">
        <v>TBD</v>
      </c>
      <c r="R147" t="str">
        <f>IF(Q147="","","Q"&amp;ROUNDUP(MONTH(Q147)/3,0)&amp;"-"&amp;YEAR(Q147))</f>
        <v/>
      </c>
      <c r="S147" t="str">
        <v>Identificado</v>
      </c>
      <c r="T147" t="str">
        <v/>
      </c>
      <c r="U147" t="str">
        <v/>
      </c>
      <c r="V147" t="str">
        <v/>
      </c>
      <c r="W147" t="str">
        <v>Alta</v>
      </c>
      <c r="X147" t="str">
        <v/>
      </c>
      <c r="Y147" t="str">
        <v/>
      </c>
      <c r="Z147" t="str">
        <v/>
      </c>
      <c r="AA147" t="str">
        <v/>
      </c>
      <c r="AB147" t="str">
        <v/>
      </c>
      <c r="AC147" t="str">
        <v>Proyecto en negociaciones con proveedor, se contratará un Arquitecto para hacer el diseño</v>
      </c>
    </row>
    <row r="148">
      <c r="A148" t="str">
        <v>HIST-0147</v>
      </c>
      <c r="B148" t="str">
        <v>D0007</v>
      </c>
      <c r="C148" t="str">
        <v>Solución de Cobranzas (DC&amp;RS)</v>
      </c>
      <c r="D148" t="str">
        <v/>
      </c>
      <c r="E148" t="str">
        <v/>
      </c>
      <c r="F148" t="str">
        <v/>
      </c>
      <c r="G148" t="str">
        <v>Augusto Cabrera / Henry Aguinaga</v>
      </c>
      <c r="H148" t="str">
        <v/>
      </c>
      <c r="I148" t="str">
        <v>Carlos Sotomayor</v>
      </c>
      <c r="J148" t="str">
        <v>Gustavo Ramos</v>
      </c>
      <c r="K148" t="str">
        <v>Roberto Duarez</v>
      </c>
      <c r="L148" t="str">
        <v/>
      </c>
      <c r="M148" t="str">
        <v>2026-07-07</v>
      </c>
      <c r="N148" t="str">
        <v/>
      </c>
      <c r="O148" t="str">
        <v/>
      </c>
      <c r="P148" t="str">
        <v/>
      </c>
      <c r="Q148" t="str">
        <v>TBD</v>
      </c>
      <c r="R148" t="str">
        <f>IF(Q148="","","Q"&amp;ROUNDUP(MONTH(Q148)/3,0)&amp;"-"&amp;YEAR(Q148))</f>
        <v/>
      </c>
      <c r="S148" t="str">
        <v>Identificado</v>
      </c>
      <c r="T148" t="str">
        <v/>
      </c>
      <c r="U148" t="str">
        <v/>
      </c>
      <c r="V148" t="str">
        <v/>
      </c>
      <c r="W148" t="str">
        <v>Alta</v>
      </c>
      <c r="X148" t="str">
        <v/>
      </c>
      <c r="Y148" t="str">
        <v/>
      </c>
      <c r="Z148" t="str">
        <v/>
      </c>
      <c r="AA148" t="str">
        <v/>
      </c>
      <c r="AB148" t="str">
        <v/>
      </c>
      <c r="AC148" t="str">
        <v>Proyecto en negociaciones con proveedor, se contratará un Arquitecto para hacer el diseño</v>
      </c>
    </row>
    <row r="149">
      <c r="A149" t="str">
        <v>HIST-0148</v>
      </c>
      <c r="B149" t="str">
        <v>D0002</v>
      </c>
      <c r="C149" t="str">
        <v>Solución de Cobranzas (DC&amp;RS)</v>
      </c>
      <c r="D149" t="str">
        <v/>
      </c>
      <c r="E149" t="str">
        <v/>
      </c>
      <c r="F149" t="str">
        <v/>
      </c>
      <c r="G149" t="str">
        <v>Augusto Cabrera / Henry Aguinaga</v>
      </c>
      <c r="H149" t="str">
        <v/>
      </c>
      <c r="I149" t="str">
        <v>Carlos Sotomayor</v>
      </c>
      <c r="J149" t="str">
        <v>Gustavo Ramos</v>
      </c>
      <c r="K149" t="str">
        <v>Roberto Duarez</v>
      </c>
      <c r="L149" t="str">
        <v/>
      </c>
      <c r="M149" t="str">
        <v>2026-07-07</v>
      </c>
      <c r="N149" t="str">
        <v/>
      </c>
      <c r="O149" t="str">
        <v/>
      </c>
      <c r="P149" t="str">
        <v/>
      </c>
      <c r="Q149" t="str">
        <v>TBD</v>
      </c>
      <c r="R149" t="str">
        <f>IF(Q149="","","Q"&amp;ROUNDUP(MONTH(Q149)/3,0)&amp;"-"&amp;YEAR(Q149))</f>
        <v/>
      </c>
      <c r="S149" t="str">
        <v>Identificado</v>
      </c>
      <c r="T149" t="str">
        <v/>
      </c>
      <c r="U149" t="str">
        <v/>
      </c>
      <c r="V149" t="str">
        <v/>
      </c>
      <c r="W149" t="str">
        <v>Alta</v>
      </c>
      <c r="X149" t="str">
        <v/>
      </c>
      <c r="Y149" t="str">
        <v/>
      </c>
      <c r="Z149" t="str">
        <v/>
      </c>
      <c r="AA149" t="str">
        <v/>
      </c>
      <c r="AB149" t="str">
        <v/>
      </c>
      <c r="AC149" t="str">
        <v>Proyecto en negociaciones con proveedor, se contratará un Arquitecto para hacer el diseño</v>
      </c>
    </row>
    <row r="150">
      <c r="A150" t="str">
        <v>HIST-0149</v>
      </c>
      <c r="B150" t="str">
        <v>D0103</v>
      </c>
      <c r="C150" t="str">
        <v>Solución de Cobranzas (DC&amp;RS)</v>
      </c>
      <c r="D150" t="str">
        <v/>
      </c>
      <c r="E150" t="str">
        <v/>
      </c>
      <c r="F150" t="str">
        <v/>
      </c>
      <c r="G150" t="str">
        <v>Augusto Cabrera / Henry Aguinaga</v>
      </c>
      <c r="H150" t="str">
        <v/>
      </c>
      <c r="I150" t="str">
        <v>Carlos Sotomayor</v>
      </c>
      <c r="J150" t="str">
        <v>Gustavo Ramos</v>
      </c>
      <c r="K150" t="str">
        <v>Roberto Duarez</v>
      </c>
      <c r="L150" t="str">
        <v/>
      </c>
      <c r="M150" t="str">
        <v>2026-07-07</v>
      </c>
      <c r="N150" t="str">
        <v/>
      </c>
      <c r="O150" t="str">
        <v/>
      </c>
      <c r="P150" t="str">
        <v/>
      </c>
      <c r="Q150" t="str">
        <v>TBD</v>
      </c>
      <c r="R150" t="str">
        <f>IF(Q150="","","Q"&amp;ROUNDUP(MONTH(Q150)/3,0)&amp;"-"&amp;YEAR(Q150))</f>
        <v/>
      </c>
      <c r="S150" t="str">
        <v>Identificado</v>
      </c>
      <c r="T150" t="str">
        <v/>
      </c>
      <c r="U150" t="str">
        <v/>
      </c>
      <c r="V150" t="str">
        <v/>
      </c>
      <c r="W150" t="str">
        <v>Alta</v>
      </c>
      <c r="X150" t="str">
        <v/>
      </c>
      <c r="Y150" t="str">
        <v/>
      </c>
      <c r="Z150" t="str">
        <v/>
      </c>
      <c r="AA150" t="str">
        <v/>
      </c>
      <c r="AB150" t="str">
        <v/>
      </c>
      <c r="AC150" t="str">
        <v>Proyecto en negociaciones con proveedor, se contratará un Arquitecto para hacer el diseño</v>
      </c>
    </row>
    <row r="151">
      <c r="A151" t="str">
        <v>HIST-0150</v>
      </c>
      <c r="B151" t="str">
        <v>D0104</v>
      </c>
      <c r="C151" t="str">
        <v>Solución de Cobranzas (DC&amp;RS)</v>
      </c>
      <c r="D151" t="str">
        <v/>
      </c>
      <c r="E151" t="str">
        <v/>
      </c>
      <c r="F151" t="str">
        <v/>
      </c>
      <c r="G151" t="str">
        <v>Augusto Cabrera / Henry Aguinaga</v>
      </c>
      <c r="H151" t="str">
        <v/>
      </c>
      <c r="I151" t="str">
        <v>Carlos Sotomayor</v>
      </c>
      <c r="J151" t="str">
        <v>Gustavo Ramos</v>
      </c>
      <c r="K151" t="str">
        <v>Roberto Duarez</v>
      </c>
      <c r="L151" t="str">
        <v/>
      </c>
      <c r="M151" t="str">
        <v>2026-07-07</v>
      </c>
      <c r="N151" t="str">
        <v/>
      </c>
      <c r="O151" t="str">
        <v/>
      </c>
      <c r="P151" t="str">
        <v/>
      </c>
      <c r="Q151" t="str">
        <v>TBD</v>
      </c>
      <c r="R151" t="str">
        <f>IF(Q151="","","Q"&amp;ROUNDUP(MONTH(Q151)/3,0)&amp;"-"&amp;YEAR(Q151))</f>
        <v/>
      </c>
      <c r="S151" t="str">
        <v>Identificado</v>
      </c>
      <c r="T151" t="str">
        <v/>
      </c>
      <c r="U151" t="str">
        <v/>
      </c>
      <c r="V151" t="str">
        <v/>
      </c>
      <c r="W151" t="str">
        <v>Alta</v>
      </c>
      <c r="X151" t="str">
        <v/>
      </c>
      <c r="Y151" t="str">
        <v/>
      </c>
      <c r="Z151" t="str">
        <v/>
      </c>
      <c r="AA151" t="str">
        <v/>
      </c>
      <c r="AB151" t="str">
        <v/>
      </c>
      <c r="AC151" t="str">
        <v>Proyecto en negociaciones con proveedor, se contratará un Arquitecto para hacer el diseño</v>
      </c>
    </row>
    <row r="152">
      <c r="A152" t="str">
        <v>HIST-0151</v>
      </c>
      <c r="B152" t="str">
        <v>D0105</v>
      </c>
      <c r="C152" t="str">
        <v>Solución de Cobranzas (DC&amp;RS)</v>
      </c>
      <c r="D152" t="str">
        <v/>
      </c>
      <c r="E152" t="str">
        <v/>
      </c>
      <c r="F152" t="str">
        <v/>
      </c>
      <c r="G152" t="str">
        <v>Augusto Cabrera / Henry Aguinaga</v>
      </c>
      <c r="H152" t="str">
        <v/>
      </c>
      <c r="I152" t="str">
        <v>Carlos Sotomayor</v>
      </c>
      <c r="J152" t="str">
        <v>Gustavo Ramos</v>
      </c>
      <c r="K152" t="str">
        <v>Roberto Duarez</v>
      </c>
      <c r="L152" t="str">
        <v/>
      </c>
      <c r="M152" t="str">
        <v>2026-07-07</v>
      </c>
      <c r="N152" t="str">
        <v/>
      </c>
      <c r="O152" t="str">
        <v/>
      </c>
      <c r="P152" t="str">
        <v/>
      </c>
      <c r="Q152" t="str">
        <v>TBD</v>
      </c>
      <c r="R152" t="str">
        <f>IF(Q152="","","Q"&amp;ROUNDUP(MONTH(Q152)/3,0)&amp;"-"&amp;YEAR(Q152))</f>
        <v/>
      </c>
      <c r="S152" t="str">
        <v>Identificado</v>
      </c>
      <c r="T152" t="str">
        <v/>
      </c>
      <c r="U152" t="str">
        <v/>
      </c>
      <c r="V152" t="str">
        <v/>
      </c>
      <c r="W152" t="str">
        <v>Alta</v>
      </c>
      <c r="X152" t="str">
        <v/>
      </c>
      <c r="Y152" t="str">
        <v/>
      </c>
      <c r="Z152" t="str">
        <v/>
      </c>
      <c r="AA152" t="str">
        <v/>
      </c>
      <c r="AB152" t="str">
        <v/>
      </c>
      <c r="AC152" t="str">
        <v>Proyecto en negociaciones con proveedor, se contratará un Arquitecto para hacer el diseño</v>
      </c>
    </row>
    <row r="153">
      <c r="A153" t="str">
        <v>HIST-0152</v>
      </c>
      <c r="B153" t="str">
        <v>D0106</v>
      </c>
      <c r="C153" t="str">
        <v>Solución de Cobranzas (DC&amp;RS)</v>
      </c>
      <c r="D153" t="str">
        <v/>
      </c>
      <c r="E153" t="str">
        <v/>
      </c>
      <c r="F153" t="str">
        <v/>
      </c>
      <c r="G153" t="str">
        <v>Augusto Cabrera / Henry Aguinaga</v>
      </c>
      <c r="H153" t="str">
        <v/>
      </c>
      <c r="I153" t="str">
        <v>Carlos Sotomayor</v>
      </c>
      <c r="J153" t="str">
        <v>Gustavo Ramos</v>
      </c>
      <c r="K153" t="str">
        <v>Roberto Duarez</v>
      </c>
      <c r="L153" t="str">
        <v/>
      </c>
      <c r="M153" t="str">
        <v>2026-07-07</v>
      </c>
      <c r="N153" t="str">
        <v/>
      </c>
      <c r="O153" t="str">
        <v/>
      </c>
      <c r="P153" t="str">
        <v/>
      </c>
      <c r="Q153" t="str">
        <v>TBD</v>
      </c>
      <c r="R153" t="str">
        <f>IF(Q153="","","Q"&amp;ROUNDUP(MONTH(Q153)/3,0)&amp;"-"&amp;YEAR(Q153))</f>
        <v/>
      </c>
      <c r="S153" t="str">
        <v>Identificado</v>
      </c>
      <c r="T153" t="str">
        <v/>
      </c>
      <c r="U153" t="str">
        <v/>
      </c>
      <c r="V153" t="str">
        <v/>
      </c>
      <c r="W153" t="str">
        <v>Alta</v>
      </c>
      <c r="X153" t="str">
        <v/>
      </c>
      <c r="Y153" t="str">
        <v/>
      </c>
      <c r="Z153" t="str">
        <v/>
      </c>
      <c r="AA153" t="str">
        <v/>
      </c>
      <c r="AB153" t="str">
        <v/>
      </c>
      <c r="AC153" t="str">
        <v>Proyecto en negociaciones con proveedor, se contratará un Arquitecto para hacer el diseño</v>
      </c>
    </row>
    <row r="154">
      <c r="A154" t="str">
        <v>HIST-0153</v>
      </c>
      <c r="B154" t="str">
        <v>D0020</v>
      </c>
      <c r="C154" t="str">
        <v>Solución de Cobranzas (DC&amp;RS)</v>
      </c>
      <c r="D154" t="str">
        <v/>
      </c>
      <c r="E154" t="str">
        <v/>
      </c>
      <c r="F154" t="str">
        <v/>
      </c>
      <c r="G154" t="str">
        <v>Augusto Cabrera / Henry Aguinaga</v>
      </c>
      <c r="H154" t="str">
        <v/>
      </c>
      <c r="I154" t="str">
        <v>Carlos Sotomayor</v>
      </c>
      <c r="J154" t="str">
        <v>Gustavo Ramos</v>
      </c>
      <c r="K154" t="str">
        <v>Roberto Duarez</v>
      </c>
      <c r="L154" t="str">
        <v/>
      </c>
      <c r="M154" t="str">
        <v>2026-07-07</v>
      </c>
      <c r="N154" t="str">
        <v/>
      </c>
      <c r="O154" t="str">
        <v/>
      </c>
      <c r="P154" t="str">
        <v/>
      </c>
      <c r="Q154" t="str">
        <v>TBD</v>
      </c>
      <c r="R154" t="str">
        <f>IF(Q154="","","Q"&amp;ROUNDUP(MONTH(Q154)/3,0)&amp;"-"&amp;YEAR(Q154))</f>
        <v/>
      </c>
      <c r="S154" t="str">
        <v>Identificado</v>
      </c>
      <c r="T154" t="str">
        <v/>
      </c>
      <c r="U154" t="str">
        <v/>
      </c>
      <c r="V154" t="str">
        <v/>
      </c>
      <c r="W154" t="str">
        <v>Alta</v>
      </c>
      <c r="X154" t="str">
        <v/>
      </c>
      <c r="Y154" t="str">
        <v/>
      </c>
      <c r="Z154" t="str">
        <v/>
      </c>
      <c r="AA154" t="str">
        <v/>
      </c>
      <c r="AB154" t="str">
        <v/>
      </c>
      <c r="AC154" t="str">
        <v>Proyecto en negociaciones con proveedor, se contratará un Arquitecto para hacer el diseño</v>
      </c>
    </row>
    <row r="155">
      <c r="A155" t="str">
        <v>HIST-0154</v>
      </c>
      <c r="B155" t="str">
        <v>D0009</v>
      </c>
      <c r="C155" t="str">
        <v>Solución de Cobranzas (DC&amp;RS)</v>
      </c>
      <c r="D155" t="str">
        <v/>
      </c>
      <c r="E155" t="str">
        <v/>
      </c>
      <c r="F155" t="str">
        <v/>
      </c>
      <c r="G155" t="str">
        <v>Augusto Cabrera / Henry Aguinaga</v>
      </c>
      <c r="H155" t="str">
        <v/>
      </c>
      <c r="I155" t="str">
        <v>Carlos Sotomayor</v>
      </c>
      <c r="J155" t="str">
        <v>Gustavo Ramos</v>
      </c>
      <c r="K155" t="str">
        <v>Roberto Duarez</v>
      </c>
      <c r="L155" t="str">
        <v/>
      </c>
      <c r="M155" t="str">
        <v>2026-07-07</v>
      </c>
      <c r="N155" t="str">
        <v/>
      </c>
      <c r="O155" t="str">
        <v/>
      </c>
      <c r="P155" t="str">
        <v/>
      </c>
      <c r="Q155" t="str">
        <v>TBD</v>
      </c>
      <c r="R155" t="str">
        <f>IF(Q155="","","Q"&amp;ROUNDUP(MONTH(Q155)/3,0)&amp;"-"&amp;YEAR(Q155))</f>
        <v/>
      </c>
      <c r="S155" t="str">
        <v>Identificado</v>
      </c>
      <c r="T155" t="str">
        <v/>
      </c>
      <c r="U155" t="str">
        <v/>
      </c>
      <c r="V155" t="str">
        <v/>
      </c>
      <c r="W155" t="str">
        <v>Alta</v>
      </c>
      <c r="X155" t="str">
        <v/>
      </c>
      <c r="Y155" t="str">
        <v/>
      </c>
      <c r="Z155" t="str">
        <v/>
      </c>
      <c r="AA155" t="str">
        <v/>
      </c>
      <c r="AB155" t="str">
        <v/>
      </c>
      <c r="AC155" t="str">
        <v>Proyecto en negociaciones con proveedor, se contratará un Arquitecto para hacer el diseño</v>
      </c>
    </row>
    <row r="156">
      <c r="A156" t="str">
        <v>HIST-0155</v>
      </c>
      <c r="B156" t="str">
        <v>D0107</v>
      </c>
      <c r="C156" t="str">
        <v>Solución de Cobranzas (DC&amp;RS)</v>
      </c>
      <c r="D156" t="str">
        <v/>
      </c>
      <c r="E156" t="str">
        <v/>
      </c>
      <c r="F156" t="str">
        <v/>
      </c>
      <c r="G156" t="str">
        <v>Augusto Cabrera / Henry Aguinaga</v>
      </c>
      <c r="H156" t="str">
        <v/>
      </c>
      <c r="I156" t="str">
        <v>Carlos Sotomayor</v>
      </c>
      <c r="J156" t="str">
        <v>Gustavo Ramos</v>
      </c>
      <c r="K156" t="str">
        <v>Roberto Duarez</v>
      </c>
      <c r="L156" t="str">
        <v/>
      </c>
      <c r="M156" t="str">
        <v>2026-07-07</v>
      </c>
      <c r="N156" t="str">
        <v/>
      </c>
      <c r="O156" t="str">
        <v/>
      </c>
      <c r="P156" t="str">
        <v/>
      </c>
      <c r="Q156" t="str">
        <v>TBD</v>
      </c>
      <c r="R156" t="str">
        <f>IF(Q156="","","Q"&amp;ROUNDUP(MONTH(Q156)/3,0)&amp;"-"&amp;YEAR(Q156))</f>
        <v/>
      </c>
      <c r="S156" t="str">
        <v>Identificado</v>
      </c>
      <c r="T156" t="str">
        <v/>
      </c>
      <c r="U156" t="str">
        <v/>
      </c>
      <c r="V156" t="str">
        <v/>
      </c>
      <c r="W156" t="str">
        <v>Alta</v>
      </c>
      <c r="X156" t="str">
        <v/>
      </c>
      <c r="Y156" t="str">
        <v/>
      </c>
      <c r="Z156" t="str">
        <v/>
      </c>
      <c r="AA156" t="str">
        <v/>
      </c>
      <c r="AB156" t="str">
        <v/>
      </c>
      <c r="AC156" t="str">
        <v>Proyecto en negociaciones con proveedor, se contratará un Arquitecto para hacer el diseño</v>
      </c>
    </row>
    <row r="157">
      <c r="A157" t="str">
        <v>HIST-0156</v>
      </c>
      <c r="B157" t="str">
        <v>D0003</v>
      </c>
      <c r="C157" t="str">
        <v>Fraudes</v>
      </c>
      <c r="D157" t="str">
        <v/>
      </c>
      <c r="E157" t="str">
        <v>Modificación</v>
      </c>
      <c r="F157" t="str">
        <v>OP-0059</v>
      </c>
      <c r="G157" t="str">
        <v>Manuel Espin</v>
      </c>
      <c r="H157" t="str">
        <v>Nelson Cuba</v>
      </c>
      <c r="I157" t="str">
        <v>Jossi Chamorro</v>
      </c>
      <c r="J157" t="str">
        <v>Jerameel Benites</v>
      </c>
      <c r="K157" t="str">
        <v>José Zumaeta</v>
      </c>
      <c r="L157" t="str">
        <v>Canales</v>
      </c>
      <c r="M157" t="str">
        <v>2026-07-09</v>
      </c>
      <c r="N157" t="str">
        <v/>
      </c>
      <c r="O157" t="str">
        <v/>
      </c>
      <c r="P157" t="str">
        <v/>
      </c>
      <c r="Q157" t="str">
        <v>2026-12-31</v>
      </c>
      <c r="R157" t="str">
        <f>IF(Q157="","","Q"&amp;ROUNDUP(MONTH(Q157)/3,0)&amp;"-"&amp;YEAR(Q157))</f>
        <v>Q4-2026</v>
      </c>
      <c r="S157" t="str">
        <v>Backlog</v>
      </c>
      <c r="T157" t="str">
        <v/>
      </c>
      <c r="U157" t="str">
        <v/>
      </c>
      <c r="V157" t="str">
        <v/>
      </c>
      <c r="W157" t="str">
        <v>Alta</v>
      </c>
      <c r="X157" t="str">
        <v/>
      </c>
      <c r="Y157" t="str">
        <v/>
      </c>
      <c r="Z157" t="str">
        <v/>
      </c>
      <c r="AA157" t="str">
        <v/>
      </c>
      <c r="AB157" t="str">
        <v/>
      </c>
      <c r="AC157" t="str">
        <v>Diseño terminado, se planifica entregar en el Q4</v>
      </c>
    </row>
    <row r="158">
      <c r="A158" t="str">
        <v>HIST-0157</v>
      </c>
      <c r="B158" t="str">
        <v>D0032</v>
      </c>
      <c r="C158" t="str">
        <v>Fraudes</v>
      </c>
      <c r="D158" t="str">
        <v/>
      </c>
      <c r="E158" t="str">
        <v>Creación</v>
      </c>
      <c r="F158" t="str">
        <v>OP-0060</v>
      </c>
      <c r="G158" t="str">
        <v>Manuel Espin</v>
      </c>
      <c r="H158" t="str">
        <v>Nelson Cuba</v>
      </c>
      <c r="I158" t="str">
        <v>Jossi Chamorro</v>
      </c>
      <c r="J158" t="str">
        <v>Jerameel Benites</v>
      </c>
      <c r="K158" t="str">
        <v>José Zumaeta</v>
      </c>
      <c r="L158" t="str">
        <v>Canales</v>
      </c>
      <c r="M158" t="str">
        <v>2026-07-09</v>
      </c>
      <c r="N158" t="str">
        <v/>
      </c>
      <c r="O158" t="str">
        <v/>
      </c>
      <c r="P158" t="str">
        <v/>
      </c>
      <c r="Q158" t="str">
        <v>2026-12-31</v>
      </c>
      <c r="R158" t="str">
        <f>IF(Q158="","","Q"&amp;ROUNDUP(MONTH(Q158)/3,0)&amp;"-"&amp;YEAR(Q158))</f>
        <v>Q4-2026</v>
      </c>
      <c r="S158" t="str">
        <v>Backlog</v>
      </c>
      <c r="T158" t="str">
        <v/>
      </c>
      <c r="U158" t="str">
        <v/>
      </c>
      <c r="V158" t="str">
        <v/>
      </c>
      <c r="W158" t="str">
        <v>Alta</v>
      </c>
      <c r="X158" t="str">
        <v/>
      </c>
      <c r="Y158" t="str">
        <v/>
      </c>
      <c r="Z158" t="str">
        <v/>
      </c>
      <c r="AA158" t="str">
        <v/>
      </c>
      <c r="AB158" t="str">
        <v/>
      </c>
      <c r="AC158" t="str">
        <v>Diseño terminado, se planifica entregar en el Q4</v>
      </c>
    </row>
    <row r="159">
      <c r="A159" t="str">
        <v>HIST-0158</v>
      </c>
      <c r="B159" t="str">
        <v>D0034</v>
      </c>
      <c r="C159" t="str">
        <v>Fraudes</v>
      </c>
      <c r="D159" t="str">
        <v/>
      </c>
      <c r="E159" t="str">
        <v>Creación</v>
      </c>
      <c r="F159" t="str">
        <v>OP-0061</v>
      </c>
      <c r="G159" t="str">
        <v>Manuel Espin</v>
      </c>
      <c r="H159" t="str">
        <v>Nelson Cuba</v>
      </c>
      <c r="I159" t="str">
        <v>Jossi Chamorro</v>
      </c>
      <c r="J159" t="str">
        <v>Jerameel Benites</v>
      </c>
      <c r="K159" t="str">
        <v>José Zumaeta</v>
      </c>
      <c r="L159" t="str">
        <v>Canales</v>
      </c>
      <c r="M159" t="str">
        <v>2026-07-09</v>
      </c>
      <c r="N159" t="str">
        <v/>
      </c>
      <c r="O159" t="str">
        <v/>
      </c>
      <c r="P159" t="str">
        <v/>
      </c>
      <c r="Q159" t="str">
        <v>2026-12-31</v>
      </c>
      <c r="R159" t="str">
        <f>IF(Q159="","","Q"&amp;ROUNDUP(MONTH(Q159)/3,0)&amp;"-"&amp;YEAR(Q159))</f>
        <v>Q4-2026</v>
      </c>
      <c r="S159" t="str">
        <v>Backlog</v>
      </c>
      <c r="T159" t="str">
        <v/>
      </c>
      <c r="U159" t="str">
        <v/>
      </c>
      <c r="V159" t="str">
        <v/>
      </c>
      <c r="W159" t="str">
        <v>Alta</v>
      </c>
      <c r="X159" t="str">
        <v/>
      </c>
      <c r="Y159" t="str">
        <v/>
      </c>
      <c r="Z159" t="str">
        <v/>
      </c>
      <c r="AA159" t="str">
        <v/>
      </c>
      <c r="AB159" t="str">
        <v/>
      </c>
      <c r="AC159" t="str">
        <v>Diseño terminado, se planifica entregar en el Q4</v>
      </c>
    </row>
    <row r="160">
      <c r="A160" t="str">
        <v>HIST-0159</v>
      </c>
      <c r="B160" t="str">
        <v>D0007</v>
      </c>
      <c r="C160" t="str">
        <v>Fraudes</v>
      </c>
      <c r="D160" t="str">
        <v/>
      </c>
      <c r="E160" t="str">
        <v>Modificación</v>
      </c>
      <c r="F160" t="str">
        <v>OP-0062, OP-0063</v>
      </c>
      <c r="G160" t="str">
        <v>Manuel Espin</v>
      </c>
      <c r="H160" t="str">
        <v>Nelson Cuba</v>
      </c>
      <c r="I160" t="str">
        <v>Jossi Chamorro</v>
      </c>
      <c r="J160" t="str">
        <v>Jerameel Benites</v>
      </c>
      <c r="K160" t="str">
        <v>José Zumaeta</v>
      </c>
      <c r="L160" t="str">
        <v>Canales</v>
      </c>
      <c r="M160" t="str">
        <v>2026-07-09</v>
      </c>
      <c r="N160" t="str">
        <v/>
      </c>
      <c r="O160" t="str">
        <v/>
      </c>
      <c r="P160" t="str">
        <v/>
      </c>
      <c r="Q160" t="str">
        <v>2026-12-31</v>
      </c>
      <c r="R160" t="str">
        <f>IF(Q160="","","Q"&amp;ROUNDUP(MONTH(Q160)/3,0)&amp;"-"&amp;YEAR(Q160))</f>
        <v>Q4-2026</v>
      </c>
      <c r="S160" t="str">
        <v>Backlog</v>
      </c>
      <c r="T160" t="str">
        <v/>
      </c>
      <c r="U160" t="str">
        <v/>
      </c>
      <c r="V160" t="str">
        <v/>
      </c>
      <c r="W160" t="str">
        <v>Alta</v>
      </c>
      <c r="X160" t="str">
        <v/>
      </c>
      <c r="Y160" t="str">
        <v/>
      </c>
      <c r="Z160" t="str">
        <v/>
      </c>
      <c r="AA160" t="str">
        <v/>
      </c>
      <c r="AB160" t="str">
        <v/>
      </c>
      <c r="AC160" t="str">
        <v>Diseño terminado, se planifica entregar en el Q4</v>
      </c>
    </row>
    <row r="161">
      <c r="A161" t="str">
        <v>HIST-0160</v>
      </c>
      <c r="B161" t="str">
        <v>D0021</v>
      </c>
      <c r="C161" t="str">
        <v>Nueva APP</v>
      </c>
      <c r="D161" t="str">
        <v/>
      </c>
      <c r="E161" t="str">
        <v>Modificación</v>
      </c>
      <c r="F161" t="str">
        <v/>
      </c>
      <c r="G161" t="str">
        <v>Ricardo Barrientos</v>
      </c>
      <c r="H161" t="str">
        <v>Gianny Alfaro</v>
      </c>
      <c r="I161" t="str">
        <v/>
      </c>
      <c r="J161" t="str">
        <v>José Segura</v>
      </c>
      <c r="K161" t="str">
        <v>José Zumaeta</v>
      </c>
      <c r="L161" t="str">
        <v>Nueva APP</v>
      </c>
      <c r="M161" t="str">
        <v>2026-07-09</v>
      </c>
      <c r="N161" t="str">
        <v/>
      </c>
      <c r="O161" t="str">
        <v/>
      </c>
      <c r="P161" t="str">
        <v/>
      </c>
      <c r="Q161" t="str">
        <v>TBD</v>
      </c>
      <c r="R161" t="str">
        <f>IF(Q161="","","Q"&amp;ROUNDUP(MONTH(Q161)/3,0)&amp;"-"&amp;YEAR(Q161))</f>
        <v/>
      </c>
      <c r="S161" t="str">
        <v>Calidad</v>
      </c>
      <c r="T161" t="str">
        <v/>
      </c>
      <c r="U161" t="str">
        <v/>
      </c>
      <c r="V161" t="str">
        <v/>
      </c>
      <c r="W161" t="str">
        <v>Media</v>
      </c>
      <c r="X161" t="str">
        <v/>
      </c>
      <c r="Y161" t="str">
        <v/>
      </c>
      <c r="Z161" t="str">
        <v/>
      </c>
      <c r="AA161" t="str">
        <v/>
      </c>
      <c r="AB161" t="str">
        <v/>
      </c>
      <c r="AC161" t="str">
        <v>Neobanco lo entrego en el Q1, Aqui se está modificando</v>
      </c>
    </row>
    <row r="162">
      <c r="A162" t="str">
        <v>HIST-0161</v>
      </c>
      <c r="B162" t="str">
        <v>D0108</v>
      </c>
      <c r="C162" t="str">
        <v>Nueva APP</v>
      </c>
      <c r="D162" t="str">
        <v/>
      </c>
      <c r="E162" t="str">
        <v>Creación</v>
      </c>
      <c r="F162" t="str">
        <v/>
      </c>
      <c r="G162" t="str">
        <v>Ricardo Barrientos</v>
      </c>
      <c r="H162" t="str">
        <v>Gianny Alfaro</v>
      </c>
      <c r="I162" t="str">
        <v/>
      </c>
      <c r="J162" t="str">
        <v>José Segura</v>
      </c>
      <c r="K162" t="str">
        <v>José Zumaeta</v>
      </c>
      <c r="L162" t="str">
        <v>Nueva APP</v>
      </c>
      <c r="M162" t="str">
        <v>2026-07-09</v>
      </c>
      <c r="N162" t="str">
        <v/>
      </c>
      <c r="O162" t="str">
        <v/>
      </c>
      <c r="P162" t="str">
        <v/>
      </c>
      <c r="Q162" t="str">
        <v/>
      </c>
      <c r="R162" t="str">
        <f>IF(Q162="","","Q"&amp;ROUNDUP(MONTH(Q162)/3,0)&amp;"-"&amp;YEAR(Q162))</f>
        <v/>
      </c>
      <c r="S162" t="str">
        <v>Diseño</v>
      </c>
      <c r="T162" t="str">
        <v/>
      </c>
      <c r="U162" t="str">
        <v/>
      </c>
      <c r="V162" t="str">
        <v/>
      </c>
      <c r="W162" t="str">
        <v>Media</v>
      </c>
      <c r="X162" t="str">
        <v/>
      </c>
      <c r="Y162" t="str">
        <v/>
      </c>
      <c r="Z162" t="str">
        <v/>
      </c>
      <c r="AA162" t="str">
        <v/>
      </c>
      <c r="AB162" t="str">
        <v/>
      </c>
      <c r="AC162" t="str">
        <v>Aqui se está creando, sin embargo Interconexión tambien lo modificará en el Q4</v>
      </c>
    </row>
    <row r="163">
      <c r="A163" t="str">
        <v>HIST-0162</v>
      </c>
      <c r="B163" t="str">
        <v>D0109</v>
      </c>
      <c r="C163" t="str">
        <v>Nueva APP</v>
      </c>
      <c r="D163" t="str">
        <v/>
      </c>
      <c r="E163" t="str">
        <v>Creación</v>
      </c>
      <c r="F163" t="str">
        <v/>
      </c>
      <c r="G163" t="str">
        <v>Lady Baltazar</v>
      </c>
      <c r="H163" t="str">
        <v>Gianny Alfaro</v>
      </c>
      <c r="I163" t="str">
        <v/>
      </c>
      <c r="J163" t="str">
        <v>Luis Paz</v>
      </c>
      <c r="K163" t="str">
        <v>José Zumaeta</v>
      </c>
      <c r="L163" t="str">
        <v>Canales</v>
      </c>
      <c r="M163" t="str">
        <v>2026-07-09</v>
      </c>
      <c r="N163" t="str">
        <v/>
      </c>
      <c r="O163" t="str">
        <v/>
      </c>
      <c r="P163" t="str">
        <v/>
      </c>
      <c r="Q163" t="str">
        <v>2026-09-30</v>
      </c>
      <c r="R163" t="str">
        <f>IF(Q163="","","Q"&amp;ROUNDUP(MONTH(Q163)/3,0)&amp;"-"&amp;YEAR(Q163))</f>
        <v>Q3-2026</v>
      </c>
      <c r="S163" t="str">
        <v>Calidad</v>
      </c>
      <c r="T163" t="str">
        <v/>
      </c>
      <c r="U163" t="str">
        <v/>
      </c>
      <c r="V163" t="str">
        <v/>
      </c>
      <c r="W163" t="str">
        <v>Media</v>
      </c>
      <c r="X163" t="str">
        <v/>
      </c>
      <c r="Y163" t="str">
        <v/>
      </c>
      <c r="Z163" t="str">
        <v/>
      </c>
      <c r="AA163" t="str">
        <v/>
      </c>
      <c r="AB163" t="str">
        <v/>
      </c>
      <c r="AC163" t="str">
        <v>Replanificado para el Q3</v>
      </c>
    </row>
    <row r="164">
      <c r="A164" t="str">
        <v>HIST-0163</v>
      </c>
      <c r="B164" t="str">
        <v>D0027</v>
      </c>
      <c r="C164" t="str">
        <v>Nueva APP</v>
      </c>
      <c r="D164" t="str">
        <v/>
      </c>
      <c r="E164" t="str">
        <v>Creación</v>
      </c>
      <c r="F164" t="str">
        <v/>
      </c>
      <c r="G164" t="str">
        <v>Ricardo Barrientos</v>
      </c>
      <c r="H164" t="str">
        <v>Gianny Alfaro</v>
      </c>
      <c r="I164" t="str">
        <v/>
      </c>
      <c r="J164" t="str">
        <v>José Segura</v>
      </c>
      <c r="K164" t="str">
        <v>José Zumaeta</v>
      </c>
      <c r="L164" t="str">
        <v>Canales</v>
      </c>
      <c r="M164" t="str">
        <v>2026-07-09</v>
      </c>
      <c r="N164" t="str">
        <v/>
      </c>
      <c r="O164" t="str">
        <v/>
      </c>
      <c r="P164" t="str">
        <v/>
      </c>
      <c r="Q164" t="str">
        <v>2026-09-30</v>
      </c>
      <c r="R164" t="str">
        <f>IF(Q164="","","Q"&amp;ROUNDUP(MONTH(Q164)/3,0)&amp;"-"&amp;YEAR(Q164))</f>
        <v>Q3-2026</v>
      </c>
      <c r="S164" t="str">
        <v>Calidad</v>
      </c>
      <c r="T164" t="str">
        <v/>
      </c>
      <c r="U164" t="str">
        <v/>
      </c>
      <c r="V164" t="str">
        <v/>
      </c>
      <c r="W164" t="str">
        <v>Media</v>
      </c>
      <c r="X164" t="str">
        <v/>
      </c>
      <c r="Y164" t="str">
        <v/>
      </c>
      <c r="Z164" t="str">
        <v/>
      </c>
      <c r="AA164" t="str">
        <v/>
      </c>
      <c r="AB164" t="str">
        <v/>
      </c>
      <c r="AC164" t="str">
        <v>Replanificado para el Q3</v>
      </c>
    </row>
    <row r="165">
      <c r="A165" t="str">
        <v>HIST-0164</v>
      </c>
      <c r="B165" t="str">
        <v>D0007</v>
      </c>
      <c r="C165" t="str">
        <v>Urpi Pro</v>
      </c>
      <c r="D165" t="str">
        <v/>
      </c>
      <c r="E165" t="str">
        <v>Modificación</v>
      </c>
      <c r="F165" t="str">
        <v>OP-0064</v>
      </c>
      <c r="G165" t="str">
        <v>Maria Reyes</v>
      </c>
      <c r="H165" t="str">
        <v>Carlos Solano</v>
      </c>
      <c r="I165" t="str">
        <v/>
      </c>
      <c r="J165" t="str">
        <v>Edwin Suarez</v>
      </c>
      <c r="K165" t="str">
        <v>Luis Palomino</v>
      </c>
      <c r="L165" t="str">
        <v>Urpi Pro</v>
      </c>
      <c r="M165" t="str">
        <v>2026-09-08</v>
      </c>
      <c r="N165" t="str">
        <v/>
      </c>
      <c r="O165" t="str">
        <v/>
      </c>
      <c r="P165" t="str">
        <v/>
      </c>
      <c r="Q165" t="str">
        <v>TBD</v>
      </c>
      <c r="R165" t="str">
        <f>IF(Q165="","","Q"&amp;ROUNDUP(MONTH(Q165)/3,0)&amp;"-"&amp;YEAR(Q165))</f>
        <v/>
      </c>
      <c r="S165" t="str">
        <v>Desarrollo</v>
      </c>
      <c r="T165" t="str">
        <v/>
      </c>
      <c r="U165" t="str">
        <v/>
      </c>
      <c r="V165" t="str">
        <v/>
      </c>
      <c r="W165" t="str">
        <v>Baja</v>
      </c>
      <c r="X165" t="str">
        <v/>
      </c>
      <c r="Y165" t="str">
        <v/>
      </c>
      <c r="Z165" t="str">
        <v/>
      </c>
      <c r="AA165" t="str">
        <v/>
      </c>
      <c r="AB165" t="str">
        <v/>
      </c>
      <c r="AC165" t="str">
        <v>Neobanco lo entrego en el Q1, Riesgos tambien lo esta viendo, Urpi Pro modificará</v>
      </c>
    </row>
    <row r="166">
      <c r="A166" t="str">
        <v>HIST-0165</v>
      </c>
      <c r="B166" t="str">
        <v>D0099</v>
      </c>
      <c r="C166" t="str">
        <v>Urpi Pro</v>
      </c>
      <c r="D166" t="str">
        <v/>
      </c>
      <c r="E166" t="str">
        <v>Creación</v>
      </c>
      <c r="F166" t="str">
        <v/>
      </c>
      <c r="G166" t="str">
        <v>Maria Reyes</v>
      </c>
      <c r="H166" t="str">
        <v>Carlos Solano</v>
      </c>
      <c r="I166" t="str">
        <v/>
      </c>
      <c r="J166" t="str">
        <v>Edwin Suarez</v>
      </c>
      <c r="K166" t="str">
        <v>Luis Palomino</v>
      </c>
      <c r="L166" t="str">
        <v>Urpi Pro</v>
      </c>
      <c r="M166" t="str">
        <v>2026-09-08</v>
      </c>
      <c r="N166" t="str">
        <v/>
      </c>
      <c r="O166" t="str">
        <v/>
      </c>
      <c r="P166" t="str">
        <v/>
      </c>
      <c r="Q166" t="str">
        <v>2026-12-31</v>
      </c>
      <c r="R166" t="str">
        <f>IF(Q166="","","Q"&amp;ROUNDUP(MONTH(Q166)/3,0)&amp;"-"&amp;YEAR(Q166))</f>
        <v>Q4-2026</v>
      </c>
      <c r="S166" t="str">
        <v>Desarrollo</v>
      </c>
      <c r="T166" t="str">
        <v/>
      </c>
      <c r="U166" t="str">
        <v/>
      </c>
      <c r="V166" t="str">
        <v/>
      </c>
      <c r="W166" t="str">
        <v>Media</v>
      </c>
      <c r="X166" t="str">
        <v/>
      </c>
      <c r="Y166" t="str">
        <v/>
      </c>
      <c r="Z166" t="str">
        <v/>
      </c>
      <c r="AA166" t="str">
        <v/>
      </c>
      <c r="AB166" t="str">
        <v/>
      </c>
      <c r="AC166" t="str">
        <v>Comprometida para el Q4</v>
      </c>
    </row>
    <row r="167">
      <c r="A167" t="str">
        <v>HIST-0166</v>
      </c>
      <c r="B167" t="str">
        <v>D0014</v>
      </c>
      <c r="C167" t="str">
        <v>Urpi Pro</v>
      </c>
      <c r="D167" t="str">
        <v/>
      </c>
      <c r="E167" t="str">
        <v>Reutilización</v>
      </c>
      <c r="F167" t="str">
        <v/>
      </c>
      <c r="G167" t="str">
        <v>Maria Reyes</v>
      </c>
      <c r="H167" t="str">
        <v>Carlos Solano</v>
      </c>
      <c r="I167" t="str">
        <v/>
      </c>
      <c r="J167" t="str">
        <v>Edwin Suarez</v>
      </c>
      <c r="K167" t="str">
        <v>Luis Palomino</v>
      </c>
      <c r="L167" t="str">
        <v>Urpi Pro</v>
      </c>
      <c r="M167" t="str">
        <v>2026-09-08</v>
      </c>
      <c r="N167" t="str">
        <v/>
      </c>
      <c r="O167" t="str">
        <v/>
      </c>
      <c r="P167" t="str">
        <v/>
      </c>
      <c r="Q167" t="str">
        <v>TBD</v>
      </c>
      <c r="R167" t="str">
        <f>IF(Q167="","","Q"&amp;ROUNDUP(MONTH(Q167)/3,0)&amp;"-"&amp;YEAR(Q167))</f>
        <v/>
      </c>
      <c r="S167" t="str">
        <v>Desarrollo</v>
      </c>
      <c r="T167" t="str">
        <v/>
      </c>
      <c r="U167" t="str">
        <v/>
      </c>
      <c r="V167" t="str">
        <v/>
      </c>
      <c r="W167" t="str">
        <v>Media</v>
      </c>
      <c r="X167" t="str">
        <v/>
      </c>
      <c r="Y167" t="str">
        <v/>
      </c>
      <c r="Z167" t="str">
        <v/>
      </c>
      <c r="AA167" t="str">
        <v/>
      </c>
      <c r="AB167" t="str">
        <v/>
      </c>
      <c r="AC167" t="str">
        <v>Lo tiene el Satelite Seguros</v>
      </c>
    </row>
    <row r="168">
      <c r="A168" t="str">
        <v>HIST-0167</v>
      </c>
      <c r="B168" t="str">
        <v>D0012</v>
      </c>
      <c r="C168" t="str">
        <v>Urpi Pro</v>
      </c>
      <c r="D168" t="str">
        <v/>
      </c>
      <c r="E168" t="str">
        <v>Modificación</v>
      </c>
      <c r="F168" t="str">
        <v/>
      </c>
      <c r="G168" t="str">
        <v>Maria Reyes</v>
      </c>
      <c r="H168" t="str">
        <v>Carlos Solano</v>
      </c>
      <c r="I168" t="str">
        <v/>
      </c>
      <c r="J168" t="str">
        <v>Edwin Suarez</v>
      </c>
      <c r="K168" t="str">
        <v>Luis Palomino</v>
      </c>
      <c r="L168" t="str">
        <v>Urpi Pro</v>
      </c>
      <c r="M168" t="str">
        <v>2026-09-08</v>
      </c>
      <c r="N168" t="str">
        <v/>
      </c>
      <c r="O168" t="str">
        <v/>
      </c>
      <c r="P168" t="str">
        <v/>
      </c>
      <c r="Q168" t="str">
        <v>2026-09-30</v>
      </c>
      <c r="R168" t="str">
        <f>IF(Q168="","","Q"&amp;ROUNDUP(MONTH(Q168)/3,0)&amp;"-"&amp;YEAR(Q168))</f>
        <v>Q3-2026</v>
      </c>
      <c r="S168" t="str">
        <v>Desarrollo</v>
      </c>
      <c r="T168" t="str">
        <v/>
      </c>
      <c r="U168" t="str">
        <v/>
      </c>
      <c r="V168" t="str">
        <v/>
      </c>
      <c r="W168" t="str">
        <v>Media</v>
      </c>
      <c r="X168" t="str">
        <v/>
      </c>
      <c r="Y168" t="str">
        <v/>
      </c>
      <c r="Z168" t="str">
        <v/>
      </c>
      <c r="AA168" t="str">
        <v/>
      </c>
      <c r="AB168" t="str">
        <v/>
      </c>
      <c r="AC168" t="str">
        <v>Neobanco lo entrego en el Q1, La Modificación está omprometida para el Q3</v>
      </c>
    </row>
    <row r="169">
      <c r="A169" t="str">
        <v>HIST-0168</v>
      </c>
      <c r="B169" t="str">
        <v>D0007</v>
      </c>
      <c r="C169" t="str">
        <v>Neobanco</v>
      </c>
      <c r="D169" t="str">
        <v/>
      </c>
      <c r="E169" t="str">
        <v>Modificación</v>
      </c>
      <c r="F169" t="str">
        <v>OP-0065, OP-0066</v>
      </c>
      <c r="G169" t="str">
        <v>Ricardo Garmendia</v>
      </c>
      <c r="H169" t="str">
        <v>Jose Seminario</v>
      </c>
      <c r="I169" t="str">
        <v/>
      </c>
      <c r="J169" t="str">
        <v>Franco Vasquez</v>
      </c>
      <c r="K169" t="str">
        <v>Luis Palomino</v>
      </c>
      <c r="L169" t="str">
        <v>WhatsApp</v>
      </c>
      <c r="M169" t="str">
        <v>2026-07-08</v>
      </c>
      <c r="N169" t="str">
        <v/>
      </c>
      <c r="O169" t="str">
        <v/>
      </c>
      <c r="P169" t="str">
        <v/>
      </c>
      <c r="Q169" t="str">
        <v>TBD</v>
      </c>
      <c r="R169" t="str">
        <f>IF(Q169="","","Q"&amp;ROUNDUP(MONTH(Q169)/3,0)&amp;"-"&amp;YEAR(Q169))</f>
        <v/>
      </c>
      <c r="S169" t="str">
        <v>Producción</v>
      </c>
      <c r="T169" t="str">
        <v/>
      </c>
      <c r="U169" t="str">
        <v/>
      </c>
      <c r="V169" t="str">
        <v/>
      </c>
      <c r="W169" t="str">
        <v>Media</v>
      </c>
      <c r="X169" t="str">
        <v/>
      </c>
      <c r="Y169" t="str">
        <v/>
      </c>
      <c r="Z169" t="str">
        <v/>
      </c>
      <c r="AA169" t="str">
        <v/>
      </c>
      <c r="AB169" t="str">
        <v/>
      </c>
      <c r="AC169" t="str">
        <v>Diseñado, pero no ha iniciado desarrollo.</v>
      </c>
    </row>
    <row r="170">
      <c r="A170" t="str">
        <v>HIST-0169</v>
      </c>
      <c r="B170" t="str">
        <v>D0110</v>
      </c>
      <c r="C170" t="str">
        <v>Neobanco</v>
      </c>
      <c r="D170" t="str">
        <v/>
      </c>
      <c r="E170" t="str">
        <v>Creación</v>
      </c>
      <c r="F170" t="str">
        <v>OP-0067</v>
      </c>
      <c r="G170" t="str">
        <v>Ricardo Garmendia</v>
      </c>
      <c r="H170" t="str">
        <v>Jose Seminario</v>
      </c>
      <c r="I170" t="str">
        <v/>
      </c>
      <c r="J170" t="str">
        <v>Franco Vasquez</v>
      </c>
      <c r="K170" t="str">
        <v>Luis Palomino</v>
      </c>
      <c r="L170" t="str">
        <v>WhatsApp</v>
      </c>
      <c r="M170" t="str">
        <v>2026-09-08</v>
      </c>
      <c r="N170" t="str">
        <v/>
      </c>
      <c r="O170" t="str">
        <v/>
      </c>
      <c r="P170" t="str">
        <v/>
      </c>
      <c r="Q170" t="str">
        <v>TBD</v>
      </c>
      <c r="R170" t="str">
        <f>IF(Q170="","","Q"&amp;ROUNDUP(MONTH(Q170)/3,0)&amp;"-"&amp;YEAR(Q170))</f>
        <v/>
      </c>
      <c r="S170" t="str">
        <v>Diseño</v>
      </c>
      <c r="T170" t="str">
        <v/>
      </c>
      <c r="U170" t="str">
        <v/>
      </c>
      <c r="V170" t="str">
        <v/>
      </c>
      <c r="W170" t="str">
        <v>Media</v>
      </c>
      <c r="X170" t="str">
        <v/>
      </c>
      <c r="Y170" t="str">
        <v/>
      </c>
      <c r="Z170" t="str">
        <v/>
      </c>
      <c r="AA170" t="str">
        <v/>
      </c>
      <c r="AB170" t="str">
        <v/>
      </c>
      <c r="AC170" t="str">
        <v>Diseñado, pero no ha iniciado desarrollo.</v>
      </c>
    </row>
    <row r="171">
      <c r="A171" t="str">
        <v>HIST-0170</v>
      </c>
      <c r="B171" t="str">
        <v>D0013</v>
      </c>
      <c r="C171" t="str">
        <v>Neobanco</v>
      </c>
      <c r="D171" t="str">
        <v/>
      </c>
      <c r="E171" t="str">
        <v>Creación</v>
      </c>
      <c r="F171" t="str">
        <v>OP-0068, OP-0069, OP-0070, OP-0071, OP-0072</v>
      </c>
      <c r="G171" t="str">
        <v>Ricardo Garmendia</v>
      </c>
      <c r="H171" t="str">
        <v>Jose Seminario</v>
      </c>
      <c r="I171" t="str">
        <v/>
      </c>
      <c r="J171" t="str">
        <v>Franco Vasquez</v>
      </c>
      <c r="K171" t="str">
        <v>Luis Palomino</v>
      </c>
      <c r="L171" t="str">
        <v>WhatsApp</v>
      </c>
      <c r="M171" t="str">
        <v>2026-09-08</v>
      </c>
      <c r="N171" t="str">
        <v/>
      </c>
      <c r="O171" t="str">
        <v/>
      </c>
      <c r="P171" t="str">
        <v/>
      </c>
      <c r="Q171" t="str">
        <v>TBD</v>
      </c>
      <c r="R171" t="str">
        <f>IF(Q171="","","Q"&amp;ROUNDUP(MONTH(Q171)/3,0)&amp;"-"&amp;YEAR(Q171))</f>
        <v/>
      </c>
      <c r="S171" t="str">
        <v>Diseño</v>
      </c>
      <c r="T171" t="str">
        <v/>
      </c>
      <c r="U171" t="str">
        <v/>
      </c>
      <c r="V171" t="str">
        <v/>
      </c>
      <c r="W171" t="str">
        <v>Media</v>
      </c>
      <c r="X171" t="str">
        <v/>
      </c>
      <c r="Y171" t="str">
        <v/>
      </c>
      <c r="Z171" t="str">
        <v/>
      </c>
      <c r="AA171" t="str">
        <v/>
      </c>
      <c r="AB171" t="str">
        <v/>
      </c>
      <c r="AC171" t="str">
        <v>Diseñado pero no ha iniciado desarrollo, Interconexion lo entrega en el Q3</v>
      </c>
    </row>
    <row r="172">
      <c r="A172" t="str">
        <v>HIST-0171</v>
      </c>
      <c r="B172" t="str">
        <v>D0016</v>
      </c>
      <c r="C172" t="str">
        <v>Neobanco</v>
      </c>
      <c r="D172" t="str">
        <v/>
      </c>
      <c r="E172" t="str">
        <v>Creación</v>
      </c>
      <c r="F172" t="str">
        <v>OP-0073, OP-0074</v>
      </c>
      <c r="G172" t="str">
        <v>Ricardo Garmendia</v>
      </c>
      <c r="H172" t="str">
        <v>Jose Seminario</v>
      </c>
      <c r="I172" t="str">
        <v/>
      </c>
      <c r="J172" t="str">
        <v>Franco Vasquez</v>
      </c>
      <c r="K172" t="str">
        <v>Luis Palomino</v>
      </c>
      <c r="L172" t="str">
        <v>WhatsApp</v>
      </c>
      <c r="M172" t="str">
        <v>2026-09-08</v>
      </c>
      <c r="N172" t="str">
        <v/>
      </c>
      <c r="O172" t="str">
        <v/>
      </c>
      <c r="P172" t="str">
        <v/>
      </c>
      <c r="Q172" t="str">
        <v>TBD</v>
      </c>
      <c r="R172" t="str">
        <f>IF(Q172="","","Q"&amp;ROUNDUP(MONTH(Q172)/3,0)&amp;"-"&amp;YEAR(Q172))</f>
        <v/>
      </c>
      <c r="S172" t="str">
        <v>Diseño</v>
      </c>
      <c r="T172" t="str">
        <v/>
      </c>
      <c r="U172" t="str">
        <v/>
      </c>
      <c r="V172" t="str">
        <v/>
      </c>
      <c r="W172" t="str">
        <v>Media</v>
      </c>
      <c r="X172" t="str">
        <v/>
      </c>
      <c r="Y172" t="str">
        <v/>
      </c>
      <c r="Z172" t="str">
        <v/>
      </c>
      <c r="AA172" t="str">
        <v/>
      </c>
      <c r="AB172" t="str">
        <v/>
      </c>
      <c r="AC172" t="str">
        <v>En diseño</v>
      </c>
    </row>
    <row r="173">
      <c r="A173" t="str">
        <v>HIST-0172</v>
      </c>
      <c r="B173" t="str">
        <v>D0024</v>
      </c>
      <c r="C173" t="str">
        <v>Neobanco</v>
      </c>
      <c r="D173" t="str">
        <v/>
      </c>
      <c r="E173" t="str">
        <v>Modificación</v>
      </c>
      <c r="F173" t="str">
        <v>OP-0075, OP-0076</v>
      </c>
      <c r="G173" t="str">
        <v>Ricardo Garmendia</v>
      </c>
      <c r="H173" t="str">
        <v>Jose Seminario</v>
      </c>
      <c r="I173" t="str">
        <v/>
      </c>
      <c r="J173" t="str">
        <v>Franco Vasquez</v>
      </c>
      <c r="K173" t="str">
        <v>Luis Palomino</v>
      </c>
      <c r="L173" t="str">
        <v>WhatsApp</v>
      </c>
      <c r="M173" t="str">
        <v>2026-09-08</v>
      </c>
      <c r="N173" t="str">
        <v/>
      </c>
      <c r="O173" t="str">
        <v/>
      </c>
      <c r="P173" t="str">
        <v/>
      </c>
      <c r="Q173" t="str">
        <v>TBD</v>
      </c>
      <c r="R173" t="str">
        <f>IF(Q173="","","Q"&amp;ROUNDUP(MONTH(Q173)/3,0)&amp;"-"&amp;YEAR(Q173))</f>
        <v/>
      </c>
      <c r="S173" t="str">
        <v>Diseño</v>
      </c>
      <c r="T173" t="str">
        <v/>
      </c>
      <c r="U173" t="str">
        <v/>
      </c>
      <c r="V173" t="str">
        <v/>
      </c>
      <c r="W173" t="str">
        <v>Media</v>
      </c>
      <c r="X173" t="str">
        <v/>
      </c>
      <c r="Y173" t="str">
        <v/>
      </c>
      <c r="Z173" t="str">
        <v/>
      </c>
      <c r="AA173" t="str">
        <v/>
      </c>
      <c r="AB173" t="str">
        <v/>
      </c>
      <c r="AC173" t="str">
        <v>Neobanco lo entregó en el Q2, BCRP tambien lo modificará, La modificación se diseño pero no ha iniciado desarrollo</v>
      </c>
    </row>
    <row r="174">
      <c r="A174" t="str">
        <v>HIST-0173</v>
      </c>
      <c r="B174" t="str">
        <v>D0025</v>
      </c>
      <c r="C174" t="str">
        <v>Neobanco</v>
      </c>
      <c r="D174" t="str">
        <v/>
      </c>
      <c r="E174" t="str">
        <v>Reutilización</v>
      </c>
      <c r="F174" t="str">
        <v>OP-0077, OP-0078, OP-0079, OP-0080</v>
      </c>
      <c r="G174" t="str">
        <v>Ricardo Garmendia</v>
      </c>
      <c r="H174" t="str">
        <v>Jose Seminario</v>
      </c>
      <c r="I174" t="str">
        <v/>
      </c>
      <c r="J174" t="str">
        <v>Franco Vasquez</v>
      </c>
      <c r="K174" t="str">
        <v>Luis Palomino</v>
      </c>
      <c r="L174" t="str">
        <v>WhatsApp</v>
      </c>
      <c r="M174" t="str">
        <v>2026-09-08</v>
      </c>
      <c r="N174" t="str">
        <v/>
      </c>
      <c r="O174" t="str">
        <v/>
      </c>
      <c r="P174" t="str">
        <v/>
      </c>
      <c r="Q174" t="str">
        <v>TBD</v>
      </c>
      <c r="R174" t="str">
        <f>IF(Q174="","","Q"&amp;ROUNDUP(MONTH(Q174)/3,0)&amp;"-"&amp;YEAR(Q174))</f>
        <v/>
      </c>
      <c r="S174" t="str">
        <v>Diseño</v>
      </c>
      <c r="T174" t="str">
        <v/>
      </c>
      <c r="U174" t="str">
        <v/>
      </c>
      <c r="V174" t="str">
        <v/>
      </c>
      <c r="W174" t="str">
        <v>Media</v>
      </c>
      <c r="X174" t="str">
        <v/>
      </c>
      <c r="Y174" t="str">
        <v/>
      </c>
      <c r="Z174" t="str">
        <v/>
      </c>
      <c r="AA174" t="str">
        <v/>
      </c>
      <c r="AB174" t="str">
        <v/>
      </c>
      <c r="AC174" t="str">
        <v>Interconexion lo entrega en el Q3, aquí se reusará</v>
      </c>
    </row>
    <row r="175">
      <c r="A175" t="str">
        <v>HIST-0174</v>
      </c>
      <c r="B175" t="str">
        <v>D0111</v>
      </c>
      <c r="C175" t="str">
        <v>Satelite de Seguros</v>
      </c>
      <c r="D175" t="str">
        <v/>
      </c>
      <c r="E175" t="str">
        <v>Reutilización</v>
      </c>
      <c r="F175" t="str">
        <v/>
      </c>
      <c r="G175" t="str">
        <v>Cesar Kroll</v>
      </c>
      <c r="H175" t="str">
        <v>Sin TTL</v>
      </c>
      <c r="I175" t="str">
        <v>Estefany Pimentel</v>
      </c>
      <c r="J175" t="str">
        <v>Christian Pinco</v>
      </c>
      <c r="K175" t="str">
        <v>Christian Tineo</v>
      </c>
      <c r="L175" t="str">
        <v>CRM</v>
      </c>
      <c r="M175" t="str">
        <v>2026-07-08</v>
      </c>
      <c r="N175" t="str">
        <v/>
      </c>
      <c r="O175" t="str">
        <v/>
      </c>
      <c r="P175" t="str">
        <v/>
      </c>
      <c r="Q175" t="str">
        <v>TBD</v>
      </c>
      <c r="R175" t="str">
        <f>IF(Q175="","","Q"&amp;ROUNDUP(MONTH(Q175)/3,0)&amp;"-"&amp;YEAR(Q175))</f>
        <v/>
      </c>
      <c r="S175" t="str">
        <v>Identificado</v>
      </c>
      <c r="T175" t="str">
        <v/>
      </c>
      <c r="U175" t="str">
        <v/>
      </c>
      <c r="V175" t="str">
        <v/>
      </c>
      <c r="W175" t="str">
        <v>Media</v>
      </c>
      <c r="X175" t="str">
        <v/>
      </c>
      <c r="Y175" t="str">
        <v/>
      </c>
      <c r="Z175" t="str">
        <v/>
      </c>
      <c r="AA175" t="str">
        <v/>
      </c>
      <c r="AB175" t="str">
        <v/>
      </c>
      <c r="AC175" t="str">
        <v>Se identifica apis que deben crearse bajo el proyecto del Nuevo Core-Gestión de Garantías</v>
      </c>
    </row>
    <row r="176">
      <c r="A176" t="str">
        <v>HIST-0175</v>
      </c>
      <c r="B176" t="str">
        <v>D0027</v>
      </c>
      <c r="C176" t="str">
        <v>Neobanco</v>
      </c>
      <c r="D176" t="str">
        <v/>
      </c>
      <c r="E176" t="str">
        <v>Modificación</v>
      </c>
      <c r="F176" t="str">
        <v>OP-0081</v>
      </c>
      <c r="G176" t="str">
        <v>Ricardo Garmendia</v>
      </c>
      <c r="H176" t="str">
        <v>Jose Seminario</v>
      </c>
      <c r="I176" t="str">
        <v/>
      </c>
      <c r="J176" t="str">
        <v>Franco Vasquez</v>
      </c>
      <c r="K176" t="str">
        <v>Luis Palomino</v>
      </c>
      <c r="L176" t="str">
        <v>WhatsApp</v>
      </c>
      <c r="M176" t="str">
        <v>2026-07-08</v>
      </c>
      <c r="N176" t="str">
        <v/>
      </c>
      <c r="O176" t="str">
        <v/>
      </c>
      <c r="P176" t="str">
        <v/>
      </c>
      <c r="Q176" t="str">
        <v>TBD</v>
      </c>
      <c r="R176" t="str">
        <f>IF(Q176="","","Q"&amp;ROUNDUP(MONTH(Q176)/3,0)&amp;"-"&amp;YEAR(Q176))</f>
        <v/>
      </c>
      <c r="S176" t="str">
        <v>Diseño</v>
      </c>
      <c r="T176" t="str">
        <v/>
      </c>
      <c r="U176" t="str">
        <v/>
      </c>
      <c r="V176" t="str">
        <v/>
      </c>
      <c r="W176" t="str">
        <v>Media</v>
      </c>
      <c r="X176" t="str">
        <v/>
      </c>
      <c r="Y176" t="str">
        <v/>
      </c>
      <c r="Z176" t="str">
        <v/>
      </c>
      <c r="AA176" t="str">
        <v/>
      </c>
      <c r="AB176" t="str">
        <v/>
      </c>
      <c r="AC176" t="str">
        <v>Riesgos lo esta creando,  La modificación se diseño pero no ha iniciado desarrollo</v>
      </c>
    </row>
    <row r="177">
      <c r="A177" t="str">
        <v>HIST-0176</v>
      </c>
      <c r="B177" t="str">
        <v>D0007</v>
      </c>
      <c r="C177" t="str">
        <v>Neobanco</v>
      </c>
      <c r="D177" t="str">
        <v/>
      </c>
      <c r="E177" t="str">
        <v>Modificación</v>
      </c>
      <c r="F177" t="str">
        <v/>
      </c>
      <c r="G177" t="str">
        <v>Ricardo Garmendia</v>
      </c>
      <c r="H177" t="str">
        <v>Jose Seminario</v>
      </c>
      <c r="I177" t="str">
        <v/>
      </c>
      <c r="J177" t="str">
        <v>Franco Vasquez</v>
      </c>
      <c r="K177" t="str">
        <v>Jorge Zuñiga</v>
      </c>
      <c r="L177" t="str">
        <v>WhatsApp</v>
      </c>
      <c r="M177" t="str">
        <v>2026-07-07</v>
      </c>
      <c r="N177" t="str">
        <v/>
      </c>
      <c r="O177" t="str">
        <v/>
      </c>
      <c r="P177" t="str">
        <v/>
      </c>
      <c r="Q177" t="str">
        <v>2026-04-30</v>
      </c>
      <c r="R177" t="str">
        <f>IF(Q177="","","Q"&amp;ROUNDUP(MONTH(Q177)/3,0)&amp;"-"&amp;YEAR(Q177))</f>
        <v>Q2-2026</v>
      </c>
      <c r="S177" t="str">
        <v>Producción</v>
      </c>
      <c r="T177" t="str">
        <v/>
      </c>
      <c r="U177" t="str">
        <v/>
      </c>
      <c r="V177" t="str">
        <v/>
      </c>
      <c r="W177" t="str">
        <v>Media</v>
      </c>
      <c r="X177" t="str">
        <v/>
      </c>
      <c r="Y177" t="str">
        <v/>
      </c>
      <c r="Z177" t="str">
        <v/>
      </c>
      <c r="AA177" t="str">
        <v/>
      </c>
      <c r="AB177" t="str">
        <v/>
      </c>
      <c r="AC177" t="str">
        <v>API en Produccion por Neobanco Q1,  la modificación se entregó en el Q2</v>
      </c>
    </row>
    <row r="178">
      <c r="A178" t="str">
        <v>HIST-0177</v>
      </c>
      <c r="B178" t="str">
        <v>D0112</v>
      </c>
      <c r="C178" t="str">
        <v>Neobanco</v>
      </c>
      <c r="D178" t="str">
        <v/>
      </c>
      <c r="E178" t="str">
        <v>Creación</v>
      </c>
      <c r="F178" t="str">
        <v/>
      </c>
      <c r="G178" t="str">
        <v>Ricardo Garmendia</v>
      </c>
      <c r="H178" t="str">
        <v>Jose Seminario</v>
      </c>
      <c r="I178" t="str">
        <v/>
      </c>
      <c r="J178" t="str">
        <v>Franco Vasquez</v>
      </c>
      <c r="K178" t="str">
        <v>Jorge Zuñiga</v>
      </c>
      <c r="L178" t="str">
        <v>WhatsApp</v>
      </c>
      <c r="M178" t="str">
        <v>2026-07-07</v>
      </c>
      <c r="N178" t="str">
        <v/>
      </c>
      <c r="O178" t="str">
        <v/>
      </c>
      <c r="P178" t="str">
        <v/>
      </c>
      <c r="Q178" t="str">
        <v/>
      </c>
      <c r="R178" t="str">
        <f>IF(Q178="","","Q"&amp;ROUNDUP(MONTH(Q178)/3,0)&amp;"-"&amp;YEAR(Q178))</f>
        <v/>
      </c>
      <c r="S178" t="str">
        <v>Diseño</v>
      </c>
      <c r="T178" t="str">
        <v/>
      </c>
      <c r="U178" t="str">
        <v/>
      </c>
      <c r="V178" t="str">
        <v/>
      </c>
      <c r="W178" t="str">
        <v>Media</v>
      </c>
      <c r="X178" t="str">
        <v/>
      </c>
      <c r="Y178" t="str">
        <v/>
      </c>
      <c r="Z178" t="str">
        <v/>
      </c>
      <c r="AA178" t="str">
        <v/>
      </c>
      <c r="AB178" t="str">
        <v/>
      </c>
      <c r="AC178" t="str">
        <v>Se desestimó</v>
      </c>
    </row>
    <row r="179">
      <c r="A179" t="str">
        <v>HIST-0178</v>
      </c>
      <c r="B179" t="str">
        <v>D0013</v>
      </c>
      <c r="C179" t="str">
        <v>Neobanco</v>
      </c>
      <c r="D179" t="str">
        <v/>
      </c>
      <c r="E179" t="str">
        <v>Creación</v>
      </c>
      <c r="F179" t="str">
        <v/>
      </c>
      <c r="G179" t="str">
        <v>Ricardo Garmendia</v>
      </c>
      <c r="H179" t="str">
        <v>Jose Seminario</v>
      </c>
      <c r="I179" t="str">
        <v/>
      </c>
      <c r="J179" t="str">
        <v>Franco Vasquez</v>
      </c>
      <c r="K179" t="str">
        <v>Jorge Zuñiga</v>
      </c>
      <c r="L179" t="str">
        <v>WhatsApp</v>
      </c>
      <c r="M179" t="str">
        <v>2026-07-07</v>
      </c>
      <c r="N179" t="str">
        <v/>
      </c>
      <c r="O179" t="str">
        <v/>
      </c>
      <c r="P179" t="str">
        <v/>
      </c>
      <c r="Q179" t="str">
        <v>TBD</v>
      </c>
      <c r="R179" t="str">
        <f>IF(Q179="","","Q"&amp;ROUNDUP(MONTH(Q179)/3,0)&amp;"-"&amp;YEAR(Q179))</f>
        <v/>
      </c>
      <c r="S179" t="str">
        <v>Diseño</v>
      </c>
      <c r="T179" t="str">
        <v/>
      </c>
      <c r="U179" t="str">
        <v/>
      </c>
      <c r="V179" t="str">
        <v/>
      </c>
      <c r="W179" t="str">
        <v>Alta</v>
      </c>
      <c r="X179" t="str">
        <v/>
      </c>
      <c r="Y179" t="str">
        <v/>
      </c>
      <c r="Z179" t="str">
        <v/>
      </c>
      <c r="AA179" t="str">
        <v/>
      </c>
      <c r="AB179" t="str">
        <v/>
      </c>
      <c r="AC179" t="str">
        <v>Diseñado pero no ha iniciado desarrollo, Interconexion lo entrega en el Q3</v>
      </c>
    </row>
    <row r="180">
      <c r="A180" t="str">
        <v>HIST-0179</v>
      </c>
      <c r="B180" t="str">
        <v>D0011</v>
      </c>
      <c r="C180" t="str">
        <v>Aliados Comerciales</v>
      </c>
      <c r="D180" t="str">
        <v/>
      </c>
      <c r="E180" t="str">
        <v>Creación</v>
      </c>
      <c r="F180" t="str">
        <v/>
      </c>
      <c r="G180" t="str">
        <v>Sandra Chipoco</v>
      </c>
      <c r="H180" t="str">
        <v>Gianny Alfaro</v>
      </c>
      <c r="I180" t="str">
        <v>Helwa Gil</v>
      </c>
      <c r="J180" t="str">
        <v>Liseel Valer</v>
      </c>
      <c r="K180" t="str">
        <v>Jorge Zuñiga</v>
      </c>
      <c r="L180" t="str">
        <v>Aliados Comerciales</v>
      </c>
      <c r="M180" t="str">
        <v>2026-07-07</v>
      </c>
      <c r="N180" t="str">
        <v/>
      </c>
      <c r="O180" t="str">
        <v/>
      </c>
      <c r="P180" t="str">
        <v/>
      </c>
      <c r="Q180" t="str">
        <v>TBD</v>
      </c>
      <c r="R180" t="str">
        <f>IF(Q180="","","Q"&amp;ROUNDUP(MONTH(Q180)/3,0)&amp;"-"&amp;YEAR(Q180))</f>
        <v/>
      </c>
      <c r="S180" t="str">
        <v>Identificado</v>
      </c>
      <c r="T180" t="str">
        <v/>
      </c>
      <c r="U180" t="str">
        <v/>
      </c>
      <c r="V180" t="str">
        <v/>
      </c>
      <c r="W180" t="str">
        <v>Media</v>
      </c>
      <c r="X180" t="str">
        <v/>
      </c>
      <c r="Y180" t="str">
        <v/>
      </c>
      <c r="Z180" t="str">
        <v/>
      </c>
      <c r="AA180" t="str">
        <v/>
      </c>
      <c r="AB180" t="str">
        <v/>
      </c>
      <c r="AC180" t="str">
        <v>no inicia el diseño, el proyecto esta pidiendo el presupuesto necesario</v>
      </c>
    </row>
    <row r="181">
      <c r="A181" t="str">
        <v>HIST-0180</v>
      </c>
      <c r="B181" t="str">
        <v>D0039</v>
      </c>
      <c r="C181" t="str">
        <v>Aliados Comerciales</v>
      </c>
      <c r="D181" t="str">
        <v/>
      </c>
      <c r="E181" t="str">
        <v>Modificación</v>
      </c>
      <c r="F181" t="str">
        <v/>
      </c>
      <c r="G181" t="str">
        <v>Sandra Chipoco</v>
      </c>
      <c r="H181" t="str">
        <v>Gianny Alfaro</v>
      </c>
      <c r="I181" t="str">
        <v>Helwa Gil</v>
      </c>
      <c r="J181" t="str">
        <v>Liseel Valer</v>
      </c>
      <c r="K181" t="str">
        <v>Jorge Zuñiga</v>
      </c>
      <c r="L181" t="str">
        <v>Aliados Comerciales</v>
      </c>
      <c r="M181" t="str">
        <v>2026-07-07</v>
      </c>
      <c r="N181" t="str">
        <v/>
      </c>
      <c r="O181" t="str">
        <v/>
      </c>
      <c r="P181" t="str">
        <v/>
      </c>
      <c r="Q181" t="str">
        <v>TBD</v>
      </c>
      <c r="R181" t="str">
        <f>IF(Q181="","","Q"&amp;ROUNDUP(MONTH(Q181)/3,0)&amp;"-"&amp;YEAR(Q181))</f>
        <v/>
      </c>
      <c r="S181" t="str">
        <v>Producción</v>
      </c>
      <c r="T181" t="str">
        <v/>
      </c>
      <c r="U181" t="str">
        <v/>
      </c>
      <c r="V181" t="str">
        <v/>
      </c>
      <c r="W181" t="str">
        <v>Media</v>
      </c>
      <c r="X181" t="str">
        <v/>
      </c>
      <c r="Y181" t="str">
        <v/>
      </c>
      <c r="Z181" t="str">
        <v/>
      </c>
      <c r="AA181" t="str">
        <v/>
      </c>
      <c r="AB181" t="str">
        <v/>
      </c>
      <c r="AC181" t="str">
        <v>Neobanco lo entrego en el Q1, Urpi Pro en Q2, no inicia el diseño de este proyecto, el proyecto esta pidiendo el presupuesto necesario</v>
      </c>
    </row>
    <row r="182" xml:space="preserve">
      <c r="A182" t="str">
        <v>HIST-0181</v>
      </c>
      <c r="B182" t="str">
        <v>D0002</v>
      </c>
      <c r="C182" t="str">
        <v>Satélite de Riesgos "Base Negativa"</v>
      </c>
      <c r="D182" t="str">
        <v/>
      </c>
      <c r="E182" t="str">
        <v>Modificación</v>
      </c>
      <c r="F182" t="str">
        <v/>
      </c>
      <c r="G182" t="str">
        <v>Vanessa Vera / Miguel García</v>
      </c>
      <c r="H182" t="str">
        <v>Nelson Cuba</v>
      </c>
      <c r="I182" t="str">
        <v>Paola Casanova</v>
      </c>
      <c r="J182" t="str">
        <v>Wilfredo Centurion / Carlos Zuñiga</v>
      </c>
      <c r="K182" t="str">
        <v>Alan Gutierrez</v>
      </c>
      <c r="L182" t="str">
        <v>nueva APP, CRM, Urpi Pro, Yape</v>
      </c>
      <c r="M182" t="str">
        <v>2026-07-07</v>
      </c>
      <c r="N182" t="str">
        <v/>
      </c>
      <c r="O182" t="str">
        <v/>
      </c>
      <c r="P182" t="str">
        <v/>
      </c>
      <c r="Q182" t="str">
        <v>2026-12-31</v>
      </c>
      <c r="R182" t="str">
        <f>IF(Q182="","","Q"&amp;ROUNDUP(MONTH(Q182)/3,0)&amp;"-"&amp;YEAR(Q182))</f>
        <v>Q4-2026</v>
      </c>
      <c r="S182" t="str">
        <v>Desarrollo</v>
      </c>
      <c r="T182" t="str">
        <v/>
      </c>
      <c r="U182" t="str">
        <v/>
      </c>
      <c r="V182" t="str">
        <v/>
      </c>
      <c r="W182" t="str">
        <v>Media</v>
      </c>
      <c r="X182" t="str">
        <v/>
      </c>
      <c r="Y182" t="str">
        <v/>
      </c>
      <c r="Z182" t="str">
        <v/>
      </c>
      <c r="AA182" t="str">
        <v/>
      </c>
      <c r="AB182" t="str">
        <v/>
      </c>
      <c r="AC182" t="str" xml:space="preserve">
        <v xml:space="preserve">- Se agrega un SD por cambio de alcance._x000d__x000d__x000d_
- Satelite de Riesgos R4 según programa del CORE se denomina Base Negativa.</v>
      </c>
    </row>
    <row r="183">
      <c r="A183" t="str">
        <v>HIST-0182</v>
      </c>
      <c r="B183" t="str">
        <v>D0115</v>
      </c>
      <c r="C183" t="str">
        <v>Desembolsos Yape</v>
      </c>
      <c r="D183" t="str">
        <v/>
      </c>
      <c r="E183" t="str">
        <v/>
      </c>
      <c r="F183" t="str">
        <v>OP-0082, OP-0083, OP-0084</v>
      </c>
      <c r="G183" t="str">
        <v>Karina Huaman</v>
      </c>
      <c r="H183" t="str">
        <v>Gianny Alfaro</v>
      </c>
      <c r="I183" t="str">
        <v/>
      </c>
      <c r="J183" t="str">
        <v>Hamlet Rengifo</v>
      </c>
      <c r="K183" t="str">
        <v>Jaime Henriquez</v>
      </c>
      <c r="L183" t="str">
        <v>Yape</v>
      </c>
      <c r="M183" t="str">
        <v>2026-06-25</v>
      </c>
      <c r="N183" t="str">
        <v/>
      </c>
      <c r="O183" t="str">
        <v/>
      </c>
      <c r="P183" t="str">
        <v/>
      </c>
      <c r="Q183" t="str">
        <v>2025-06-30</v>
      </c>
      <c r="R183" t="str">
        <f>IF(Q183="","","Q"&amp;ROUNDUP(MONTH(Q183)/3,0)&amp;"-"&amp;YEAR(Q183))</f>
        <v>Q2-2025</v>
      </c>
      <c r="S183" t="str">
        <v>Producción</v>
      </c>
      <c r="T183" t="str">
        <v/>
      </c>
      <c r="U183" t="str">
        <v/>
      </c>
      <c r="V183" t="str">
        <v/>
      </c>
      <c r="W183" t="str">
        <v>Baja</v>
      </c>
      <c r="X183" t="str">
        <v/>
      </c>
      <c r="Y183" t="str">
        <v/>
      </c>
      <c r="Z183" t="str">
        <v/>
      </c>
      <c r="AA183" t="str">
        <v/>
      </c>
      <c r="AB183" t="str">
        <v/>
      </c>
      <c r="AC183" t="str">
        <v>- API UX no bianizada</v>
      </c>
    </row>
    <row r="184">
      <c r="A184" t="str">
        <v>HIST-0183</v>
      </c>
      <c r="B184" t="str">
        <v>D0116</v>
      </c>
      <c r="C184" t="str">
        <v>Desembolsos Yape</v>
      </c>
      <c r="D184" t="str">
        <v/>
      </c>
      <c r="E184" t="str">
        <v/>
      </c>
      <c r="F184" t="str">
        <v>OP-0085</v>
      </c>
      <c r="G184" t="str">
        <v>Karina Huaman</v>
      </c>
      <c r="H184" t="str">
        <v>Gianny Alfaro</v>
      </c>
      <c r="I184" t="str">
        <v/>
      </c>
      <c r="J184" t="str">
        <v>Hamlet Rengifo</v>
      </c>
      <c r="K184" t="str">
        <v>Jaime Henriquez</v>
      </c>
      <c r="L184" t="str">
        <v>Yape</v>
      </c>
      <c r="M184" t="str">
        <v>2026-06-25</v>
      </c>
      <c r="N184" t="str">
        <v/>
      </c>
      <c r="O184" t="str">
        <v/>
      </c>
      <c r="P184" t="str">
        <v/>
      </c>
      <c r="Q184" t="str">
        <v>2025-06-30</v>
      </c>
      <c r="R184" t="str">
        <f>IF(Q184="","","Q"&amp;ROUNDUP(MONTH(Q184)/3,0)&amp;"-"&amp;YEAR(Q184))</f>
        <v>Q2-2025</v>
      </c>
      <c r="S184" t="str">
        <v>Producción</v>
      </c>
      <c r="T184" t="str">
        <v/>
      </c>
      <c r="U184" t="str">
        <v/>
      </c>
      <c r="V184" t="str">
        <v/>
      </c>
      <c r="W184" t="str">
        <v>Baja</v>
      </c>
      <c r="X184" t="str">
        <v/>
      </c>
      <c r="Y184" t="str">
        <v/>
      </c>
      <c r="Z184" t="str">
        <v/>
      </c>
      <c r="AA184" t="str">
        <v/>
      </c>
      <c r="AB184" t="str">
        <v/>
      </c>
      <c r="AC184" t="str">
        <v>- API BS no bianizada</v>
      </c>
    </row>
    <row r="185">
      <c r="A185" t="str">
        <v>HIST-0184</v>
      </c>
      <c r="B185" t="str">
        <v>D0117</v>
      </c>
      <c r="C185" t="str">
        <v>Desembolsos Yape</v>
      </c>
      <c r="D185" t="str">
        <v/>
      </c>
      <c r="E185" t="str">
        <v/>
      </c>
      <c r="F185" t="str">
        <v>OP-0086</v>
      </c>
      <c r="G185" t="str">
        <v>Karina Huaman</v>
      </c>
      <c r="H185" t="str">
        <v>Gianny Alfaro</v>
      </c>
      <c r="I185" t="str">
        <v/>
      </c>
      <c r="J185" t="str">
        <v>Hamlet Rengifo</v>
      </c>
      <c r="K185" t="str">
        <v>Jaime Henriquez</v>
      </c>
      <c r="L185" t="str">
        <v>Yape</v>
      </c>
      <c r="M185" t="str">
        <v>2026-06-25</v>
      </c>
      <c r="N185" t="str">
        <v/>
      </c>
      <c r="O185" t="str">
        <v/>
      </c>
      <c r="P185" t="str">
        <v/>
      </c>
      <c r="Q185" t="str">
        <v>2025-06-30</v>
      </c>
      <c r="R185" t="str">
        <f>IF(Q185="","","Q"&amp;ROUNDUP(MONTH(Q185)/3,0)&amp;"-"&amp;YEAR(Q185))</f>
        <v>Q2-2025</v>
      </c>
      <c r="S185" t="str">
        <v>Producción</v>
      </c>
      <c r="T185" t="str">
        <v/>
      </c>
      <c r="U185" t="str">
        <v/>
      </c>
      <c r="V185" t="str">
        <v/>
      </c>
      <c r="W185" t="str">
        <v>Baja</v>
      </c>
      <c r="X185" t="str">
        <v/>
      </c>
      <c r="Y185" t="str">
        <v/>
      </c>
      <c r="Z185" t="str">
        <v/>
      </c>
      <c r="AA185" t="str">
        <v/>
      </c>
      <c r="AB185" t="str">
        <v/>
      </c>
      <c r="AC185" t="str">
        <v>- API UX no bianizada</v>
      </c>
    </row>
    <row r="186">
      <c r="A186" t="str">
        <v>HIST-0185</v>
      </c>
      <c r="B186" t="str">
        <v>D0118</v>
      </c>
      <c r="C186" t="str">
        <v>Desembolsos Yape</v>
      </c>
      <c r="D186" t="str">
        <v/>
      </c>
      <c r="E186" t="str">
        <v/>
      </c>
      <c r="F186" t="str">
        <v>OP-0087</v>
      </c>
      <c r="G186" t="str">
        <v>Karina Huaman</v>
      </c>
      <c r="H186" t="str">
        <v>Gianny Alfaro</v>
      </c>
      <c r="I186" t="str">
        <v/>
      </c>
      <c r="J186" t="str">
        <v>Hamlet Rengifo</v>
      </c>
      <c r="K186" t="str">
        <v>Jaime Henriquez</v>
      </c>
      <c r="L186" t="str">
        <v>Yape</v>
      </c>
      <c r="M186" t="str">
        <v>2026-06-25</v>
      </c>
      <c r="N186" t="str">
        <v/>
      </c>
      <c r="O186" t="str">
        <v/>
      </c>
      <c r="P186" t="str">
        <v/>
      </c>
      <c r="Q186" t="str">
        <v>2025-06-30</v>
      </c>
      <c r="R186" t="str">
        <f>IF(Q186="","","Q"&amp;ROUNDUP(MONTH(Q186)/3,0)&amp;"-"&amp;YEAR(Q186))</f>
        <v>Q2-2025</v>
      </c>
      <c r="S186" t="str">
        <v>Producción</v>
      </c>
      <c r="T186" t="str">
        <v/>
      </c>
      <c r="U186" t="str">
        <v/>
      </c>
      <c r="V186" t="str">
        <v/>
      </c>
      <c r="W186" t="str">
        <v>Baja</v>
      </c>
      <c r="X186" t="str">
        <v/>
      </c>
      <c r="Y186" t="str">
        <v/>
      </c>
      <c r="Z186" t="str">
        <v/>
      </c>
      <c r="AA186" t="str">
        <v/>
      </c>
      <c r="AB186" t="str">
        <v/>
      </c>
      <c r="AC186" t="str">
        <v>- API BS no bianizada</v>
      </c>
    </row>
    <row r="187">
      <c r="A187" t="str">
        <v>HIST-0186</v>
      </c>
      <c r="B187" t="str">
        <v>D0119</v>
      </c>
      <c r="C187" t="str">
        <v>Desembolsos Yape</v>
      </c>
      <c r="D187" t="str">
        <v/>
      </c>
      <c r="E187" t="str">
        <v/>
      </c>
      <c r="F187" t="str">
        <v>OP-0088</v>
      </c>
      <c r="G187" t="str">
        <v>Karina Huaman</v>
      </c>
      <c r="H187" t="str">
        <v>Gianny Alfaro</v>
      </c>
      <c r="I187" t="str">
        <v/>
      </c>
      <c r="J187" t="str">
        <v>Hamlet Rengifo</v>
      </c>
      <c r="K187" t="str">
        <v>Jaime Henriquez</v>
      </c>
      <c r="L187" t="str">
        <v>Yape</v>
      </c>
      <c r="M187" t="str">
        <v>2026-06-25</v>
      </c>
      <c r="N187" t="str">
        <v/>
      </c>
      <c r="O187" t="str">
        <v/>
      </c>
      <c r="P187" t="str">
        <v/>
      </c>
      <c r="Q187" t="str">
        <v>2025-06-30</v>
      </c>
      <c r="R187" t="str">
        <f>IF(Q187="","","Q"&amp;ROUNDUP(MONTH(Q187)/3,0)&amp;"-"&amp;YEAR(Q187))</f>
        <v>Q2-2025</v>
      </c>
      <c r="S187" t="str">
        <v>Producción</v>
      </c>
      <c r="T187" t="str">
        <v/>
      </c>
      <c r="U187" t="str">
        <v/>
      </c>
      <c r="V187" t="str">
        <v/>
      </c>
      <c r="W187" t="str">
        <v>Baja</v>
      </c>
      <c r="X187" t="str">
        <v/>
      </c>
      <c r="Y187" t="str">
        <v/>
      </c>
      <c r="Z187" t="str">
        <v/>
      </c>
      <c r="AA187" t="str">
        <v/>
      </c>
      <c r="AB187" t="str">
        <v/>
      </c>
      <c r="AC187" t="str">
        <v>- API BS no bianizada</v>
      </c>
    </row>
    <row r="188">
      <c r="A188" t="str">
        <v>HIST-0187</v>
      </c>
      <c r="B188" t="str">
        <v>D0120</v>
      </c>
      <c r="C188" t="str">
        <v>Desembolsos Yape</v>
      </c>
      <c r="D188" t="str">
        <v/>
      </c>
      <c r="E188" t="str">
        <v/>
      </c>
      <c r="F188" t="str">
        <v>OP-0089</v>
      </c>
      <c r="G188" t="str">
        <v>Karina Huaman</v>
      </c>
      <c r="H188" t="str">
        <v>Gianny Alfaro</v>
      </c>
      <c r="I188" t="str">
        <v/>
      </c>
      <c r="J188" t="str">
        <v>Hamlet Rengifo</v>
      </c>
      <c r="K188" t="str">
        <v>Jaime Henriquez</v>
      </c>
      <c r="L188" t="str">
        <v>Yape</v>
      </c>
      <c r="M188" t="str">
        <v>2026-06-25</v>
      </c>
      <c r="N188" t="str">
        <v/>
      </c>
      <c r="O188" t="str">
        <v/>
      </c>
      <c r="P188" t="str">
        <v/>
      </c>
      <c r="Q188" t="str">
        <v>2025-06-30</v>
      </c>
      <c r="R188" t="str">
        <f>IF(Q188="","","Q"&amp;ROUNDUP(MONTH(Q188)/3,0)&amp;"-"&amp;YEAR(Q188))</f>
        <v>Q2-2025</v>
      </c>
      <c r="S188" t="str">
        <v>Producción</v>
      </c>
      <c r="T188" t="str">
        <v/>
      </c>
      <c r="U188" t="str">
        <v/>
      </c>
      <c r="V188" t="str">
        <v/>
      </c>
      <c r="W188" t="str">
        <v>Media</v>
      </c>
      <c r="X188" t="str">
        <v/>
      </c>
      <c r="Y188" t="str">
        <v/>
      </c>
      <c r="Z188" t="str">
        <v/>
      </c>
      <c r="AA188" t="str">
        <v/>
      </c>
      <c r="AB188" t="str">
        <v/>
      </c>
      <c r="AC188" t="str">
        <v>- API BS no bianzada, pero será reemplazada por el D0221</v>
      </c>
    </row>
    <row r="189">
      <c r="A189" t="str">
        <v>HIST-0188</v>
      </c>
      <c r="B189" t="str">
        <v>D0121</v>
      </c>
      <c r="C189" t="str">
        <v>Fraudes</v>
      </c>
      <c r="D189" t="str">
        <v/>
      </c>
      <c r="E189" t="str">
        <v>Creación</v>
      </c>
      <c r="F189" t="str">
        <v>OP-0090, OP-0091, OP-0092, OP-0093, OP-0094, OP-0095, OP-0096</v>
      </c>
      <c r="G189" t="str">
        <v>Manuel Espin</v>
      </c>
      <c r="H189" t="str">
        <v>Nelson Cuba</v>
      </c>
      <c r="I189" t="str">
        <v>Jossi Chamorro</v>
      </c>
      <c r="J189" t="str">
        <v>Jerameel Benites</v>
      </c>
      <c r="K189" t="str">
        <v>José Zumaeta</v>
      </c>
      <c r="L189" t="str">
        <v>Canales</v>
      </c>
      <c r="M189" t="str">
        <v>2026-06-25</v>
      </c>
      <c r="N189" t="str">
        <v/>
      </c>
      <c r="O189" t="str">
        <v/>
      </c>
      <c r="P189" t="str">
        <v/>
      </c>
      <c r="Q189" t="str">
        <v>2026-06-16</v>
      </c>
      <c r="R189" t="str">
        <f>IF(Q189="","","Q"&amp;ROUNDUP(MONTH(Q189)/3,0)&amp;"-"&amp;YEAR(Q189))</f>
        <v>Q2-2026</v>
      </c>
      <c r="S189" t="str">
        <v>Producción</v>
      </c>
      <c r="T189" t="str">
        <v/>
      </c>
      <c r="U189" t="str">
        <v/>
      </c>
      <c r="V189" t="str">
        <v/>
      </c>
      <c r="W189" t="str">
        <v>Alta</v>
      </c>
      <c r="X189" t="str">
        <v/>
      </c>
      <c r="Y189" t="str">
        <v/>
      </c>
      <c r="Z189" t="str">
        <v/>
      </c>
      <c r="AA189" t="str">
        <v/>
      </c>
      <c r="AB189" t="str">
        <v/>
      </c>
      <c r="AC189" t="str">
        <v>- API BS no bianizada</v>
      </c>
    </row>
    <row r="190">
      <c r="A190" t="str">
        <v>HIST-0189</v>
      </c>
      <c r="B190" t="str">
        <v>D0122</v>
      </c>
      <c r="C190" t="str">
        <v>Distribuidor de campañas</v>
      </c>
      <c r="D190" t="str">
        <v/>
      </c>
      <c r="E190" t="str">
        <v/>
      </c>
      <c r="F190" t="str">
        <v/>
      </c>
      <c r="G190" t="str">
        <v>Miguel Loayza</v>
      </c>
      <c r="H190" t="str">
        <v>Gianny Alfaro</v>
      </c>
      <c r="I190" t="str">
        <v/>
      </c>
      <c r="J190" t="str">
        <v>Danny Mercado</v>
      </c>
      <c r="K190" t="str">
        <v>José Zumaeta</v>
      </c>
      <c r="L190" t="str">
        <v/>
      </c>
      <c r="M190" t="str">
        <v/>
      </c>
      <c r="N190" t="str">
        <v/>
      </c>
      <c r="O190" t="str">
        <v/>
      </c>
      <c r="P190" t="str">
        <v/>
      </c>
      <c r="Q190" t="str">
        <v/>
      </c>
      <c r="R190" t="str">
        <f>IF(Q190="","","Q"&amp;ROUNDUP(MONTH(Q190)/3,0)&amp;"-"&amp;YEAR(Q190))</f>
        <v/>
      </c>
      <c r="S190" t="str">
        <v/>
      </c>
      <c r="T190" t="str">
        <v/>
      </c>
      <c r="U190" t="str">
        <v/>
      </c>
      <c r="V190" t="str">
        <v/>
      </c>
      <c r="W190" t="str">
        <v/>
      </c>
      <c r="X190" t="str">
        <v/>
      </c>
      <c r="Y190" t="str">
        <v/>
      </c>
      <c r="Z190" t="str">
        <v/>
      </c>
      <c r="AA190" t="str">
        <v/>
      </c>
      <c r="AB190" t="str">
        <v/>
      </c>
      <c r="AC190" t="str">
        <v>API UX pasado a producción</v>
      </c>
    </row>
    <row r="191">
      <c r="A191" t="str">
        <v>HIST-0190</v>
      </c>
      <c r="B191" t="str">
        <v>D0122</v>
      </c>
      <c r="C191" t="str">
        <v>Distribuidor de campañas</v>
      </c>
      <c r="D191" t="str">
        <v/>
      </c>
      <c r="E191" t="str">
        <v/>
      </c>
      <c r="F191" t="str">
        <v/>
      </c>
      <c r="G191" t="str">
        <v>Miguel Loayza</v>
      </c>
      <c r="H191" t="str">
        <v>Gianny Alfaro</v>
      </c>
      <c r="I191" t="str">
        <v/>
      </c>
      <c r="J191" t="str">
        <v>Danny Mercado</v>
      </c>
      <c r="K191" t="str">
        <v>José Zumaeta</v>
      </c>
      <c r="L191" t="str">
        <v/>
      </c>
      <c r="M191" t="str">
        <v/>
      </c>
      <c r="N191" t="str">
        <v/>
      </c>
      <c r="O191" t="str">
        <v/>
      </c>
      <c r="P191" t="str">
        <v/>
      </c>
      <c r="Q191" t="str">
        <v/>
      </c>
      <c r="R191" t="str">
        <f>IF(Q191="","","Q"&amp;ROUNDUP(MONTH(Q191)/3,0)&amp;"-"&amp;YEAR(Q191))</f>
        <v/>
      </c>
      <c r="S191" t="str">
        <v/>
      </c>
      <c r="T191" t="str">
        <v/>
      </c>
      <c r="U191" t="str">
        <v/>
      </c>
      <c r="V191" t="str">
        <v/>
      </c>
      <c r="W191" t="str">
        <v/>
      </c>
      <c r="X191" t="str">
        <v/>
      </c>
      <c r="Y191" t="str">
        <v/>
      </c>
      <c r="Z191" t="str">
        <v/>
      </c>
      <c r="AA191" t="str">
        <v/>
      </c>
      <c r="AB191" t="str">
        <v/>
      </c>
      <c r="AC191" t="str">
        <v>API UX pasado a producción</v>
      </c>
    </row>
    <row r="192">
      <c r="A192" t="str">
        <v>HIST-0191</v>
      </c>
      <c r="B192" t="str">
        <v>D0122</v>
      </c>
      <c r="C192" t="str">
        <v>Distribuidor de campañas</v>
      </c>
      <c r="D192" t="str">
        <v/>
      </c>
      <c r="E192" t="str">
        <v/>
      </c>
      <c r="F192" t="str">
        <v/>
      </c>
      <c r="G192" t="str">
        <v>Miguel Loayza</v>
      </c>
      <c r="H192" t="str">
        <v>Gianny Alfaro</v>
      </c>
      <c r="I192" t="str">
        <v/>
      </c>
      <c r="J192" t="str">
        <v>Danny Mercado</v>
      </c>
      <c r="K192" t="str">
        <v>José Zumaeta</v>
      </c>
      <c r="L192" t="str">
        <v/>
      </c>
      <c r="M192" t="str">
        <v/>
      </c>
      <c r="N192" t="str">
        <v/>
      </c>
      <c r="O192" t="str">
        <v/>
      </c>
      <c r="P192" t="str">
        <v/>
      </c>
      <c r="Q192" t="str">
        <v/>
      </c>
      <c r="R192" t="str">
        <f>IF(Q192="","","Q"&amp;ROUNDUP(MONTH(Q192)/3,0)&amp;"-"&amp;YEAR(Q192))</f>
        <v/>
      </c>
      <c r="S192" t="str">
        <v/>
      </c>
      <c r="T192" t="str">
        <v/>
      </c>
      <c r="U192" t="str">
        <v/>
      </c>
      <c r="V192" t="str">
        <v/>
      </c>
      <c r="W192" t="str">
        <v/>
      </c>
      <c r="X192" t="str">
        <v/>
      </c>
      <c r="Y192" t="str">
        <v/>
      </c>
      <c r="Z192" t="str">
        <v/>
      </c>
      <c r="AA192" t="str">
        <v/>
      </c>
      <c r="AB192" t="str">
        <v/>
      </c>
      <c r="AC192" t="str">
        <v>API BS pasado a producción</v>
      </c>
    </row>
    <row r="193">
      <c r="A193" t="str">
        <v>HIST-0192</v>
      </c>
      <c r="B193" t="str">
        <v>D0122</v>
      </c>
      <c r="C193" t="str">
        <v>Nueva APP</v>
      </c>
      <c r="D193" t="str">
        <v/>
      </c>
      <c r="E193" t="str">
        <v>Modificación</v>
      </c>
      <c r="F193" t="str">
        <v>OP-0097</v>
      </c>
      <c r="G193" t="str">
        <v>Rocio Arboleda</v>
      </c>
      <c r="H193" t="str">
        <v>Gianny Alfaro</v>
      </c>
      <c r="I193" t="str">
        <v/>
      </c>
      <c r="J193" t="str">
        <v xml:space="preserve">Ever Justo </v>
      </c>
      <c r="K193" t="str">
        <v>José Zumaeta</v>
      </c>
      <c r="L193" t="str">
        <v/>
      </c>
      <c r="M193" t="str">
        <v/>
      </c>
      <c r="N193" t="str">
        <v/>
      </c>
      <c r="O193" t="str">
        <v/>
      </c>
      <c r="P193" t="str">
        <v/>
      </c>
      <c r="Q193" t="str">
        <v>TBD</v>
      </c>
      <c r="R193" t="str">
        <f>IF(Q193="","","Q"&amp;ROUNDUP(MONTH(Q193)/3,0)&amp;"-"&amp;YEAR(Q193))</f>
        <v/>
      </c>
      <c r="S193" t="str">
        <v>Producción</v>
      </c>
      <c r="T193" t="str">
        <v/>
      </c>
      <c r="U193" t="str">
        <v/>
      </c>
      <c r="V193" t="str">
        <v/>
      </c>
      <c r="W193" t="str">
        <v/>
      </c>
      <c r="X193" t="str">
        <v/>
      </c>
      <c r="Y193" t="str">
        <v/>
      </c>
      <c r="Z193" t="str">
        <v/>
      </c>
      <c r="AA193" t="str">
        <v/>
      </c>
      <c r="AB193" t="str">
        <v/>
      </c>
      <c r="AC193" t="str">
        <v/>
      </c>
    </row>
    <row r="194">
      <c r="A194" t="str">
        <v>HIST-0193</v>
      </c>
      <c r="B194" t="str">
        <v>D0123</v>
      </c>
      <c r="C194" t="str">
        <v>Nueva APP</v>
      </c>
      <c r="D194" t="str">
        <v/>
      </c>
      <c r="E194" t="str">
        <v>Modificación</v>
      </c>
      <c r="F194" t="str">
        <v>OP-0098</v>
      </c>
      <c r="G194" t="str">
        <v>Rocio Arboleda</v>
      </c>
      <c r="H194" t="str">
        <v>Gianny Alfaro</v>
      </c>
      <c r="I194" t="str">
        <v/>
      </c>
      <c r="J194" t="str">
        <v>Ever Justo</v>
      </c>
      <c r="K194" t="str">
        <v>José Zumaeta</v>
      </c>
      <c r="L194" t="str">
        <v/>
      </c>
      <c r="M194" t="str">
        <v/>
      </c>
      <c r="N194" t="str">
        <v/>
      </c>
      <c r="O194" t="str">
        <v/>
      </c>
      <c r="P194" t="str">
        <v/>
      </c>
      <c r="Q194" t="str">
        <v>TBD</v>
      </c>
      <c r="R194" t="str">
        <f>IF(Q194="","","Q"&amp;ROUNDUP(MONTH(Q194)/3,0)&amp;"-"&amp;YEAR(Q194))</f>
        <v/>
      </c>
      <c r="S194" t="str">
        <v>Producción</v>
      </c>
      <c r="T194" t="str">
        <v/>
      </c>
      <c r="U194" t="str">
        <v/>
      </c>
      <c r="V194" t="str">
        <v/>
      </c>
      <c r="W194" t="str">
        <v/>
      </c>
      <c r="X194" t="str">
        <v/>
      </c>
      <c r="Y194" t="str">
        <v/>
      </c>
      <c r="Z194" t="str">
        <v/>
      </c>
      <c r="AA194" t="str">
        <v/>
      </c>
      <c r="AB194" t="str">
        <v/>
      </c>
      <c r="AC194" t="str">
        <v/>
      </c>
    </row>
    <row r="195">
      <c r="A195" t="str">
        <v>HIST-0194</v>
      </c>
      <c r="B195" t="str">
        <v>D0009</v>
      </c>
      <c r="C195" t="str">
        <v>Satélite de Riesgos R4</v>
      </c>
      <c r="D195" t="str">
        <v/>
      </c>
      <c r="E195" t="str">
        <v>Modificación</v>
      </c>
      <c r="F195" t="str">
        <v/>
      </c>
      <c r="G195" t="str">
        <v>Vanessa Vera / Miguel García</v>
      </c>
      <c r="H195" t="str">
        <v>Nelson Cuba</v>
      </c>
      <c r="I195" t="str">
        <v>Paola Casanova</v>
      </c>
      <c r="J195" t="str">
        <v>Wilfredo Centurion / Carlos Zuñiga</v>
      </c>
      <c r="K195" t="str">
        <v>Alan Gutierrez</v>
      </c>
      <c r="L195" t="str">
        <v>nueva APP, CRM, Urpi Pro, Yape</v>
      </c>
      <c r="M195" t="str">
        <v>2026-07-07</v>
      </c>
      <c r="N195" t="str">
        <v/>
      </c>
      <c r="O195" t="str">
        <v/>
      </c>
      <c r="P195" t="str">
        <v/>
      </c>
      <c r="Q195" t="str">
        <v>2026-09-30</v>
      </c>
      <c r="R195" t="str">
        <f>IF(Q195="","","Q"&amp;ROUNDUP(MONTH(Q195)/3,0)&amp;"-"&amp;YEAR(Q195))</f>
        <v>Q3-2026</v>
      </c>
      <c r="S195" t="str">
        <v>Desarrollo</v>
      </c>
      <c r="T195" t="str">
        <v/>
      </c>
      <c r="U195" t="str">
        <v/>
      </c>
      <c r="V195" t="str">
        <v/>
      </c>
      <c r="W195" t="str">
        <v>Media</v>
      </c>
      <c r="X195" t="str">
        <v/>
      </c>
      <c r="Y195" t="str">
        <v/>
      </c>
      <c r="Z195" t="str">
        <v/>
      </c>
      <c r="AA195" t="str">
        <v/>
      </c>
      <c r="AB195" t="str">
        <v/>
      </c>
      <c r="AC195" t="str">
        <v>-Por el apetito del negocio el R3 se acota en el alcance y nace el R4.</v>
      </c>
    </row>
    <row r="196">
      <c r="A196" t="str">
        <v>HIST-0195</v>
      </c>
      <c r="B196" t="str">
        <v>D0113</v>
      </c>
      <c r="C196" t="str">
        <v>Satélite de Riesgos R4</v>
      </c>
      <c r="D196" t="str">
        <v/>
      </c>
      <c r="E196" t="str">
        <v>Modificación</v>
      </c>
      <c r="F196" t="str">
        <v/>
      </c>
      <c r="G196" t="str">
        <v>Vanessa Vera / Miguel García</v>
      </c>
      <c r="H196" t="str">
        <v>Nelson Cuba</v>
      </c>
      <c r="I196" t="str">
        <v>Paola Casanova</v>
      </c>
      <c r="J196" t="str">
        <v>Wilfredo Centurion / Carlos Zuñiga</v>
      </c>
      <c r="K196" t="str">
        <v>Alan Gutierrez</v>
      </c>
      <c r="L196" t="str">
        <v>nueva APP, CRM, Urpi Pro, Yape</v>
      </c>
      <c r="M196" t="str">
        <v>2026-07-07</v>
      </c>
      <c r="N196" t="str">
        <v/>
      </c>
      <c r="O196" t="str">
        <v/>
      </c>
      <c r="P196" t="str">
        <v/>
      </c>
      <c r="Q196" t="str">
        <v>2026-09-30</v>
      </c>
      <c r="R196" t="str">
        <f>IF(Q196="","","Q"&amp;ROUNDUP(MONTH(Q196)/3,0)&amp;"-"&amp;YEAR(Q196))</f>
        <v>Q3-2026</v>
      </c>
      <c r="S196" t="str">
        <v>Desarrollo</v>
      </c>
      <c r="T196" t="str">
        <v/>
      </c>
      <c r="U196" t="str">
        <v/>
      </c>
      <c r="V196" t="str">
        <v/>
      </c>
      <c r="W196" t="str">
        <v>Media</v>
      </c>
      <c r="X196" t="str">
        <v/>
      </c>
      <c r="Y196" t="str">
        <v/>
      </c>
      <c r="Z196" t="str">
        <v/>
      </c>
      <c r="AA196" t="str">
        <v/>
      </c>
      <c r="AB196" t="str">
        <v/>
      </c>
      <c r="AC196" t="str">
        <v>-Por el apetito del negocio el R3 se acota en el alcance y nace el R4.</v>
      </c>
    </row>
    <row r="197">
      <c r="A197" t="str">
        <v>HIST-0196</v>
      </c>
      <c r="B197" t="str">
        <v>D0005</v>
      </c>
      <c r="C197" t="str">
        <v>Satélite de Riesgos R4</v>
      </c>
      <c r="D197" t="str">
        <v/>
      </c>
      <c r="E197" t="str">
        <v>Modificación</v>
      </c>
      <c r="F197" t="str">
        <v/>
      </c>
      <c r="G197" t="str">
        <v>Vanessa Vera / Miguel García</v>
      </c>
      <c r="H197" t="str">
        <v>Nelson Cuba</v>
      </c>
      <c r="I197" t="str">
        <v>Paola Casanova</v>
      </c>
      <c r="J197" t="str">
        <v>Wilfredo Centurion / Carlos Zuñiga</v>
      </c>
      <c r="K197" t="str">
        <v>Alan Gutierrez</v>
      </c>
      <c r="L197" t="str">
        <v>nueva APP, CRM, Urpi Pro, Yape</v>
      </c>
      <c r="M197" t="str">
        <v>2026-07-07</v>
      </c>
      <c r="N197" t="str">
        <v/>
      </c>
      <c r="O197" t="str">
        <v/>
      </c>
      <c r="P197" t="str">
        <v/>
      </c>
      <c r="Q197" t="str">
        <v>2026-09-30</v>
      </c>
      <c r="R197" t="str">
        <f>IF(Q197="","","Q"&amp;ROUNDUP(MONTH(Q197)/3,0)&amp;"-"&amp;YEAR(Q197))</f>
        <v>Q3-2026</v>
      </c>
      <c r="S197" t="str">
        <v>Desarrollo</v>
      </c>
      <c r="T197" t="str">
        <v/>
      </c>
      <c r="U197" t="str">
        <v/>
      </c>
      <c r="V197" t="str">
        <v/>
      </c>
      <c r="W197" t="str">
        <v>Media</v>
      </c>
      <c r="X197" t="str">
        <v/>
      </c>
      <c r="Y197" t="str">
        <v/>
      </c>
      <c r="Z197" t="str">
        <v/>
      </c>
      <c r="AA197" t="str">
        <v/>
      </c>
      <c r="AB197" t="str">
        <v/>
      </c>
      <c r="AC197" t="str">
        <v>-Por el apetito del negocio el R3 se acota en el alcance y nace el R4.</v>
      </c>
    </row>
    <row r="198">
      <c r="A198" t="str">
        <v>HIST-0197</v>
      </c>
      <c r="B198" t="str">
        <v>D0008</v>
      </c>
      <c r="C198" t="str">
        <v>Satélite de Riesgos R4</v>
      </c>
      <c r="D198" t="str">
        <v/>
      </c>
      <c r="E198" t="str">
        <v>Modificación</v>
      </c>
      <c r="F198" t="str">
        <v/>
      </c>
      <c r="G198" t="str">
        <v>Vanessa Vera / Miguel García</v>
      </c>
      <c r="H198" t="str">
        <v>Nelson Cuba</v>
      </c>
      <c r="I198" t="str">
        <v>Paola Casanova</v>
      </c>
      <c r="J198" t="str">
        <v>Wilfredo Centurion / Carlos Zuñiga</v>
      </c>
      <c r="K198" t="str">
        <v>Alan Gutierrez</v>
      </c>
      <c r="L198" t="str">
        <v>nueva APP, CRM, Urpi Pro, Yape</v>
      </c>
      <c r="M198" t="str">
        <v>2026-07-07</v>
      </c>
      <c r="N198" t="str">
        <v/>
      </c>
      <c r="O198" t="str">
        <v/>
      </c>
      <c r="P198" t="str">
        <v/>
      </c>
      <c r="Q198" t="str">
        <v>2026-09-30</v>
      </c>
      <c r="R198" t="str">
        <f>IF(Q198="","","Q"&amp;ROUNDUP(MONTH(Q198)/3,0)&amp;"-"&amp;YEAR(Q198))</f>
        <v>Q3-2026</v>
      </c>
      <c r="S198" t="str">
        <v>Desarrollo</v>
      </c>
      <c r="T198" t="str">
        <v/>
      </c>
      <c r="U198" t="str">
        <v/>
      </c>
      <c r="V198" t="str">
        <v/>
      </c>
      <c r="W198" t="str">
        <v>Media</v>
      </c>
      <c r="X198" t="str">
        <v/>
      </c>
      <c r="Y198" t="str">
        <v/>
      </c>
      <c r="Z198" t="str">
        <v/>
      </c>
      <c r="AA198" t="str">
        <v/>
      </c>
      <c r="AB198" t="str">
        <v/>
      </c>
      <c r="AC198" t="str">
        <v>-Por el apetito del negocio el R3 se acota en el alcance y nace el R4.</v>
      </c>
    </row>
    <row r="199">
      <c r="A199" t="str">
        <v>HIST-0198</v>
      </c>
      <c r="B199" t="str">
        <v>D0111</v>
      </c>
      <c r="C199" t="str">
        <v>Satélite de Riesgos R4</v>
      </c>
      <c r="D199" t="str">
        <v/>
      </c>
      <c r="E199" t="str">
        <v>Creación</v>
      </c>
      <c r="F199" t="str">
        <v/>
      </c>
      <c r="G199" t="str">
        <v>Vanessa Vera / Miguel García</v>
      </c>
      <c r="H199" t="str">
        <v>Nelson Cuba</v>
      </c>
      <c r="I199" t="str">
        <v>Paola Casanova</v>
      </c>
      <c r="J199" t="str">
        <v>Wilfredo Centurion / Carlos Zuñiga</v>
      </c>
      <c r="K199" t="str">
        <v>Alan Gutierrez</v>
      </c>
      <c r="L199" t="str">
        <v>nueva APP, CRM, Urpi Pro, Yape</v>
      </c>
      <c r="M199" t="str">
        <v>2026-07-07</v>
      </c>
      <c r="N199" t="str">
        <v/>
      </c>
      <c r="O199" t="str">
        <v/>
      </c>
      <c r="P199" t="str">
        <v/>
      </c>
      <c r="Q199" t="str">
        <v>2026-09-30</v>
      </c>
      <c r="R199" t="str">
        <f>IF(Q199="","","Q"&amp;ROUNDUP(MONTH(Q199)/3,0)&amp;"-"&amp;YEAR(Q199))</f>
        <v>Q3-2026</v>
      </c>
      <c r="S199" t="str">
        <v>Desarrollo</v>
      </c>
      <c r="T199" t="str">
        <v/>
      </c>
      <c r="U199" t="str">
        <v/>
      </c>
      <c r="V199" t="str">
        <v/>
      </c>
      <c r="W199" t="str">
        <v>Media</v>
      </c>
      <c r="X199" t="str">
        <v/>
      </c>
      <c r="Y199" t="str">
        <v/>
      </c>
      <c r="Z199" t="str">
        <v/>
      </c>
      <c r="AA199" t="str">
        <v/>
      </c>
      <c r="AB199" t="str">
        <v/>
      </c>
      <c r="AC199" t="str">
        <v>-Por el apetito del negocio el R3 se acota en el alcance y nace el R4, API se entregará en Q4</v>
      </c>
    </row>
    <row r="200">
      <c r="A200" t="str">
        <v>HIST-0199</v>
      </c>
      <c r="B200" t="str">
        <v>D0014</v>
      </c>
      <c r="C200" t="str">
        <v>Catalogo de Servicios de Interconexión</v>
      </c>
      <c r="D200" t="str">
        <v/>
      </c>
      <c r="E200" t="str">
        <v>Creación</v>
      </c>
      <c r="F200" t="str">
        <v/>
      </c>
      <c r="G200" t="str">
        <v>Ricardo Garmendia</v>
      </c>
      <c r="H200" t="str">
        <v>Sin TTL</v>
      </c>
      <c r="I200" t="str">
        <v>Victor Valqui</v>
      </c>
      <c r="J200" t="str">
        <v>Franklyn Velasco</v>
      </c>
      <c r="K200" t="str">
        <v>Alex Avila</v>
      </c>
      <c r="L200" t="str">
        <v>Whatsapp, Landing Pasivos, Agente BCP</v>
      </c>
      <c r="M200" t="str">
        <v>2026-07-02</v>
      </c>
      <c r="N200" t="str">
        <v/>
      </c>
      <c r="O200" t="str">
        <v/>
      </c>
      <c r="P200" t="str">
        <v/>
      </c>
      <c r="Q200" t="str">
        <v>2026-12-01</v>
      </c>
      <c r="R200" t="str">
        <f>IF(Q200="","","Q"&amp;ROUNDUP(MONTH(Q200)/3,0)&amp;"-"&amp;YEAR(Q200))</f>
        <v>Q4-2026</v>
      </c>
      <c r="S200" t="str">
        <v>Diseño</v>
      </c>
      <c r="T200" t="str">
        <v/>
      </c>
      <c r="U200" t="str">
        <v/>
      </c>
      <c r="V200" t="str">
        <v/>
      </c>
      <c r="W200" t="str">
        <v>Alta</v>
      </c>
      <c r="X200" t="str">
        <v/>
      </c>
      <c r="Y200" t="str">
        <v/>
      </c>
      <c r="Z200" t="str">
        <v/>
      </c>
      <c r="AA200" t="str">
        <v/>
      </c>
      <c r="AB200" t="str">
        <v/>
      </c>
      <c r="AC200" t="str">
        <v>Para el Q4</v>
      </c>
    </row>
    <row r="201">
      <c r="A201" t="str">
        <v>HIST-0200</v>
      </c>
      <c r="B201" t="str">
        <v>D0031</v>
      </c>
      <c r="C201" t="str">
        <v>Catalogo de Servicios de Interconexión</v>
      </c>
      <c r="D201" t="str">
        <v/>
      </c>
      <c r="E201" t="str">
        <v>Creación</v>
      </c>
      <c r="F201" t="str">
        <v/>
      </c>
      <c r="G201" t="str">
        <v>Ricardo Garmendia</v>
      </c>
      <c r="H201" t="str">
        <v>Sin TTL</v>
      </c>
      <c r="I201" t="str">
        <v>Victor Valqui</v>
      </c>
      <c r="J201" t="str">
        <v>Franklyn Velasco</v>
      </c>
      <c r="K201" t="str">
        <v>Alex Avila</v>
      </c>
      <c r="L201" t="str">
        <v>Whatsapp, Landing Pasivos, Agente BCP</v>
      </c>
      <c r="M201" t="str">
        <v>2026-07-02</v>
      </c>
      <c r="N201" t="str">
        <v/>
      </c>
      <c r="O201" t="str">
        <v/>
      </c>
      <c r="P201" t="str">
        <v/>
      </c>
      <c r="Q201" t="str">
        <v>2026-12-01</v>
      </c>
      <c r="R201" t="str">
        <f>IF(Q201="","","Q"&amp;ROUNDUP(MONTH(Q201)/3,0)&amp;"-"&amp;YEAR(Q201))</f>
        <v>Q4-2026</v>
      </c>
      <c r="S201" t="str">
        <v>Diseño</v>
      </c>
      <c r="T201" t="str">
        <v/>
      </c>
      <c r="U201" t="str">
        <v/>
      </c>
      <c r="V201" t="str">
        <v/>
      </c>
      <c r="W201" t="str">
        <v>Alta</v>
      </c>
      <c r="X201" t="str">
        <v/>
      </c>
      <c r="Y201" t="str">
        <v/>
      </c>
      <c r="Z201" t="str">
        <v/>
      </c>
      <c r="AA201" t="str">
        <v/>
      </c>
      <c r="AB201" t="str">
        <v/>
      </c>
      <c r="AC201" t="str">
        <v>Para el Q4</v>
      </c>
    </row>
    <row r="202">
      <c r="A202" t="str">
        <v>HIST-0201</v>
      </c>
      <c r="B202" t="str">
        <v>D0043</v>
      </c>
      <c r="C202" t="str">
        <v>Catalogo de Servicios de Interconexión</v>
      </c>
      <c r="D202" t="str">
        <v/>
      </c>
      <c r="E202" t="str">
        <v>Creación</v>
      </c>
      <c r="F202" t="str">
        <v/>
      </c>
      <c r="G202" t="str">
        <v>Ricardo Garmendia</v>
      </c>
      <c r="H202" t="str">
        <v>Sin TTL</v>
      </c>
      <c r="I202" t="str">
        <v>Victor Valqui</v>
      </c>
      <c r="J202" t="str">
        <v>Franklyn Velasco</v>
      </c>
      <c r="K202" t="str">
        <v>Alex Avila</v>
      </c>
      <c r="L202" t="str">
        <v>Whatsapp, Landing Pasivos, Agente BCP</v>
      </c>
      <c r="M202" t="str">
        <v>2026-07-02</v>
      </c>
      <c r="N202" t="str">
        <v/>
      </c>
      <c r="O202" t="str">
        <v/>
      </c>
      <c r="P202" t="str">
        <v/>
      </c>
      <c r="Q202" t="str">
        <v>2026-12-01</v>
      </c>
      <c r="R202" t="str">
        <f>IF(Q202="","","Q"&amp;ROUNDUP(MONTH(Q202)/3,0)&amp;"-"&amp;YEAR(Q202))</f>
        <v>Q4-2026</v>
      </c>
      <c r="S202" t="str">
        <v>Diseño</v>
      </c>
      <c r="T202" t="str">
        <v/>
      </c>
      <c r="U202" t="str">
        <v/>
      </c>
      <c r="V202" t="str">
        <v/>
      </c>
      <c r="W202" t="str">
        <v>Alta</v>
      </c>
      <c r="X202" t="str">
        <v/>
      </c>
      <c r="Y202" t="str">
        <v/>
      </c>
      <c r="Z202" t="str">
        <v/>
      </c>
      <c r="AA202" t="str">
        <v/>
      </c>
      <c r="AB202" t="str">
        <v/>
      </c>
      <c r="AC202" t="str">
        <v>Para el Q4</v>
      </c>
    </row>
    <row r="203">
      <c r="A203" t="str">
        <v>HIST-0202</v>
      </c>
      <c r="B203" t="str">
        <v>D0013</v>
      </c>
      <c r="C203" t="str">
        <v>Catalogo de Servicios de Interconexión</v>
      </c>
      <c r="D203" t="str">
        <v/>
      </c>
      <c r="E203" t="str">
        <v>Creación</v>
      </c>
      <c r="F203" t="str">
        <v/>
      </c>
      <c r="G203" t="str">
        <v/>
      </c>
      <c r="H203" t="str">
        <v>Sin TTL</v>
      </c>
      <c r="I203" t="str">
        <v>Victor Valqui</v>
      </c>
      <c r="J203" t="str">
        <v>Franklyn Velasco</v>
      </c>
      <c r="K203" t="str">
        <v>Alex Avila</v>
      </c>
      <c r="L203" t="str">
        <v>Landing Pasivos</v>
      </c>
      <c r="M203" t="str">
        <v>2026-07-02</v>
      </c>
      <c r="N203" t="str">
        <v/>
      </c>
      <c r="O203" t="str">
        <v/>
      </c>
      <c r="P203" t="str">
        <v/>
      </c>
      <c r="Q203" t="str">
        <v>2026-09-30</v>
      </c>
      <c r="R203" t="str">
        <f>IF(Q203="","","Q"&amp;ROUNDUP(MONTH(Q203)/3,0)&amp;"-"&amp;YEAR(Q203))</f>
        <v>Q3-2026</v>
      </c>
      <c r="S203" t="str">
        <v>Diseño</v>
      </c>
      <c r="T203" t="str">
        <v/>
      </c>
      <c r="U203" t="str">
        <v/>
      </c>
      <c r="V203" t="str">
        <v/>
      </c>
      <c r="W203" t="str">
        <v>Alta</v>
      </c>
      <c r="X203" t="str">
        <v/>
      </c>
      <c r="Y203" t="str">
        <v/>
      </c>
      <c r="Z203" t="str">
        <v/>
      </c>
      <c r="AA203" t="str">
        <v/>
      </c>
      <c r="AB203" t="str">
        <v/>
      </c>
      <c r="AC203" t="str">
        <v>Para el Q3, API BIAN para el proceso de Onboarding</v>
      </c>
    </row>
    <row r="204">
      <c r="A204" t="str">
        <v>HIST-0203</v>
      </c>
      <c r="B204" t="str">
        <v>D0124</v>
      </c>
      <c r="C204" t="str">
        <v>Catalogo de Servicios de Interconexión</v>
      </c>
      <c r="D204" t="str">
        <v/>
      </c>
      <c r="E204" t="str">
        <v>Creación</v>
      </c>
      <c r="F204" t="str">
        <v/>
      </c>
      <c r="G204" t="str">
        <v>Ricardo Garmendia</v>
      </c>
      <c r="H204" t="str">
        <v>Sin TTL</v>
      </c>
      <c r="I204" t="str">
        <v>Victor Valqui</v>
      </c>
      <c r="J204" t="str">
        <v>Franklyn Velasco</v>
      </c>
      <c r="K204" t="str">
        <v>Alex Avila</v>
      </c>
      <c r="L204" t="str">
        <v>Whatsapp, Landing Pasivos, Agente BCP</v>
      </c>
      <c r="M204" t="str">
        <v>2026-07-02</v>
      </c>
      <c r="N204" t="str">
        <v/>
      </c>
      <c r="O204" t="str">
        <v/>
      </c>
      <c r="P204" t="str">
        <v/>
      </c>
      <c r="Q204" t="str">
        <v>2026-12-01</v>
      </c>
      <c r="R204" t="str">
        <f>IF(Q204="","","Q"&amp;ROUNDUP(MONTH(Q204)/3,0)&amp;"-"&amp;YEAR(Q204))</f>
        <v>Q4-2026</v>
      </c>
      <c r="S204" t="str">
        <v>Diseño</v>
      </c>
      <c r="T204" t="str">
        <v/>
      </c>
      <c r="U204" t="str">
        <v/>
      </c>
      <c r="V204" t="str">
        <v/>
      </c>
      <c r="W204" t="str">
        <v>Alta</v>
      </c>
      <c r="X204" t="str">
        <v/>
      </c>
      <c r="Y204" t="str">
        <v/>
      </c>
      <c r="Z204" t="str">
        <v/>
      </c>
      <c r="AA204" t="str">
        <v/>
      </c>
      <c r="AB204" t="str">
        <v/>
      </c>
      <c r="AC204" t="str">
        <v>Para el Q4</v>
      </c>
    </row>
    <row r="205">
      <c r="A205" t="str">
        <v>HIST-0204</v>
      </c>
      <c r="B205" t="str">
        <v>D0033</v>
      </c>
      <c r="C205" t="str">
        <v>Catalogo de Servicios de Interconexión</v>
      </c>
      <c r="D205" t="str">
        <v/>
      </c>
      <c r="E205" t="str">
        <v>Creación</v>
      </c>
      <c r="F205" t="str">
        <v/>
      </c>
      <c r="G205" t="str">
        <v>Ricardo Garmendia</v>
      </c>
      <c r="H205" t="str">
        <v>Sin TTL</v>
      </c>
      <c r="I205" t="str">
        <v>Victor Valqui</v>
      </c>
      <c r="J205" t="str">
        <v>Franklyn Velasco</v>
      </c>
      <c r="K205" t="str">
        <v>Alex Avila</v>
      </c>
      <c r="L205" t="str">
        <v>Whatsapp, Landing Pasivos, Agente BCP</v>
      </c>
      <c r="M205" t="str">
        <v>2026-07-02</v>
      </c>
      <c r="N205" t="str">
        <v/>
      </c>
      <c r="O205" t="str">
        <v/>
      </c>
      <c r="P205" t="str">
        <v/>
      </c>
      <c r="Q205" t="str">
        <v>2026-12-01</v>
      </c>
      <c r="R205" t="str">
        <f>IF(Q205="","","Q"&amp;ROUNDUP(MONTH(Q205)/3,0)&amp;"-"&amp;YEAR(Q205))</f>
        <v>Q4-2026</v>
      </c>
      <c r="S205" t="str">
        <v>Diseño</v>
      </c>
      <c r="T205" t="str">
        <v/>
      </c>
      <c r="U205" t="str">
        <v/>
      </c>
      <c r="V205" t="str">
        <v/>
      </c>
      <c r="W205" t="str">
        <v>Alta</v>
      </c>
      <c r="X205" t="str">
        <v/>
      </c>
      <c r="Y205" t="str">
        <v/>
      </c>
      <c r="Z205" t="str">
        <v/>
      </c>
      <c r="AA205" t="str">
        <v/>
      </c>
      <c r="AB205" t="str">
        <v/>
      </c>
      <c r="AC205" t="str">
        <v>Para el Q4</v>
      </c>
    </row>
    <row r="206">
      <c r="A206" t="str">
        <v>HIST-0205</v>
      </c>
      <c r="B206" t="str">
        <v>D0102</v>
      </c>
      <c r="C206" t="str">
        <v>Catalogo de Servicios de Interconexión</v>
      </c>
      <c r="D206" t="str">
        <v/>
      </c>
      <c r="E206" t="str">
        <v>Creación</v>
      </c>
      <c r="F206" t="str">
        <v/>
      </c>
      <c r="G206" t="str">
        <v/>
      </c>
      <c r="H206" t="str">
        <v>Sin TTL</v>
      </c>
      <c r="I206" t="str">
        <v>Victor Valqui</v>
      </c>
      <c r="J206" t="str">
        <v>Franklyn Velasco</v>
      </c>
      <c r="K206" t="str">
        <v>Alex Avila</v>
      </c>
      <c r="L206" t="str">
        <v>Landing Pasivos</v>
      </c>
      <c r="M206" t="str">
        <v>2026-07-02</v>
      </c>
      <c r="N206" t="str">
        <v/>
      </c>
      <c r="O206" t="str">
        <v/>
      </c>
      <c r="P206" t="str">
        <v/>
      </c>
      <c r="Q206" t="str">
        <v>2026-09-30</v>
      </c>
      <c r="R206" t="str">
        <f>IF(Q206="","","Q"&amp;ROUNDUP(MONTH(Q206)/3,0)&amp;"-"&amp;YEAR(Q206))</f>
        <v>Q3-2026</v>
      </c>
      <c r="S206" t="str">
        <v>Diseño</v>
      </c>
      <c r="T206" t="str">
        <v/>
      </c>
      <c r="U206" t="str">
        <v/>
      </c>
      <c r="V206" t="str">
        <v/>
      </c>
      <c r="W206" t="str">
        <v>Alta</v>
      </c>
      <c r="X206" t="str">
        <v/>
      </c>
      <c r="Y206" t="str">
        <v/>
      </c>
      <c r="Z206" t="str">
        <v/>
      </c>
      <c r="AA206" t="str">
        <v/>
      </c>
      <c r="AB206" t="str">
        <v/>
      </c>
      <c r="AC206" t="str">
        <v>Para el Q3, API BIAN para el proceso de Onboarding</v>
      </c>
    </row>
    <row r="207">
      <c r="A207" t="str">
        <v>HIST-0206</v>
      </c>
      <c r="B207" t="str">
        <v>D0035</v>
      </c>
      <c r="C207" t="str">
        <v>Catalogo de Servicios de Interconexión</v>
      </c>
      <c r="D207" t="str">
        <v/>
      </c>
      <c r="E207" t="str">
        <v>Creación</v>
      </c>
      <c r="F207" t="str">
        <v/>
      </c>
      <c r="G207" t="str">
        <v/>
      </c>
      <c r="H207" t="str">
        <v>Sin TTL</v>
      </c>
      <c r="I207" t="str">
        <v>Victor Valqui</v>
      </c>
      <c r="J207" t="str">
        <v>Franklyn Velasco</v>
      </c>
      <c r="K207" t="str">
        <v>Alex Avila</v>
      </c>
      <c r="L207" t="str">
        <v>Landing Pasivos</v>
      </c>
      <c r="M207" t="str">
        <v>2026-07-02</v>
      </c>
      <c r="N207" t="str">
        <v/>
      </c>
      <c r="O207" t="str">
        <v/>
      </c>
      <c r="P207" t="str">
        <v/>
      </c>
      <c r="Q207" t="str">
        <v>2026-09-30</v>
      </c>
      <c r="R207" t="str">
        <f>IF(Q207="","","Q"&amp;ROUNDUP(MONTH(Q207)/3,0)&amp;"-"&amp;YEAR(Q207))</f>
        <v>Q3-2026</v>
      </c>
      <c r="S207" t="str">
        <v>Diseño</v>
      </c>
      <c r="T207" t="str">
        <v/>
      </c>
      <c r="U207" t="str">
        <v/>
      </c>
      <c r="V207" t="str">
        <v/>
      </c>
      <c r="W207" t="str">
        <v>Alta</v>
      </c>
      <c r="X207" t="str">
        <v/>
      </c>
      <c r="Y207" t="str">
        <v/>
      </c>
      <c r="Z207" t="str">
        <v/>
      </c>
      <c r="AA207" t="str">
        <v/>
      </c>
      <c r="AB207" t="str">
        <v/>
      </c>
      <c r="AC207" t="str">
        <v>Para el Q3, API BIAN para el proceso de Onboarding</v>
      </c>
    </row>
    <row r="208">
      <c r="A208" t="str">
        <v>HIST-0207</v>
      </c>
      <c r="B208" t="str">
        <v>D0025</v>
      </c>
      <c r="C208" t="str">
        <v>Catalogo de Servicios de Interconexión</v>
      </c>
      <c r="D208" t="str">
        <v/>
      </c>
      <c r="E208" t="str">
        <v>Creación</v>
      </c>
      <c r="F208" t="str">
        <v/>
      </c>
      <c r="G208" t="str">
        <v/>
      </c>
      <c r="H208" t="str">
        <v>Sin TTL</v>
      </c>
      <c r="I208" t="str">
        <v>Victor Valqui</v>
      </c>
      <c r="J208" t="str">
        <v>Franklyn Velasco</v>
      </c>
      <c r="K208" t="str">
        <v>Alex Avila</v>
      </c>
      <c r="L208" t="str">
        <v>Landing Pasivos</v>
      </c>
      <c r="M208" t="str">
        <v>2026-07-02</v>
      </c>
      <c r="N208" t="str">
        <v/>
      </c>
      <c r="O208" t="str">
        <v/>
      </c>
      <c r="P208" t="str">
        <v/>
      </c>
      <c r="Q208" t="str">
        <v>2026-09-30</v>
      </c>
      <c r="R208" t="str">
        <f>IF(Q208="","","Q"&amp;ROUNDUP(MONTH(Q208)/3,0)&amp;"-"&amp;YEAR(Q208))</f>
        <v>Q3-2026</v>
      </c>
      <c r="S208" t="str">
        <v>Diseño</v>
      </c>
      <c r="T208" t="str">
        <v/>
      </c>
      <c r="U208" t="str">
        <v/>
      </c>
      <c r="V208" t="str">
        <v/>
      </c>
      <c r="W208" t="str">
        <v>Alta</v>
      </c>
      <c r="X208" t="str">
        <v/>
      </c>
      <c r="Y208" t="str">
        <v/>
      </c>
      <c r="Z208" t="str">
        <v/>
      </c>
      <c r="AA208" t="str">
        <v/>
      </c>
      <c r="AB208" t="str">
        <v/>
      </c>
      <c r="AC208" t="str">
        <v>Para el Q3, API BIAN para el proceso de Onboarding</v>
      </c>
    </row>
    <row r="209">
      <c r="A209" t="str">
        <v>HIST-0208</v>
      </c>
      <c r="B209" t="str">
        <v>D0125</v>
      </c>
      <c r="C209" t="str">
        <v>Catalogo de Servicios de Interconexión</v>
      </c>
      <c r="D209" t="str">
        <v/>
      </c>
      <c r="E209" t="str">
        <v>Creación</v>
      </c>
      <c r="F209" t="str">
        <v/>
      </c>
      <c r="G209" t="str">
        <v/>
      </c>
      <c r="H209" t="str">
        <v>Sin TTL</v>
      </c>
      <c r="I209" t="str">
        <v>Victor Valqui</v>
      </c>
      <c r="J209" t="str">
        <v>Franklyn Velasco</v>
      </c>
      <c r="K209" t="str">
        <v>Alex Avila</v>
      </c>
      <c r="L209" t="str">
        <v>Landing Pasivos</v>
      </c>
      <c r="M209" t="str">
        <v>2026-07-02</v>
      </c>
      <c r="N209" t="str">
        <v/>
      </c>
      <c r="O209" t="str">
        <v/>
      </c>
      <c r="P209" t="str">
        <v/>
      </c>
      <c r="Q209" t="str">
        <v>2026-09-30</v>
      </c>
      <c r="R209" t="str">
        <f>IF(Q209="","","Q"&amp;ROUNDUP(MONTH(Q209)/3,0)&amp;"-"&amp;YEAR(Q209))</f>
        <v>Q3-2026</v>
      </c>
      <c r="S209" t="str">
        <v>Diseño</v>
      </c>
      <c r="T209" t="str">
        <v/>
      </c>
      <c r="U209" t="str">
        <v/>
      </c>
      <c r="V209" t="str">
        <v/>
      </c>
      <c r="W209" t="str">
        <v>Alta</v>
      </c>
      <c r="X209" t="str">
        <v/>
      </c>
      <c r="Y209" t="str">
        <v/>
      </c>
      <c r="Z209" t="str">
        <v/>
      </c>
      <c r="AA209" t="str">
        <v/>
      </c>
      <c r="AB209" t="str">
        <v/>
      </c>
      <c r="AC209" t="str">
        <v>Para el Q3, API BIAN para el proceso de Onboarding</v>
      </c>
    </row>
    <row r="210">
      <c r="A210" t="str">
        <v>HIST-0209</v>
      </c>
      <c r="B210" t="str">
        <v>D0023</v>
      </c>
      <c r="C210" t="str">
        <v>Catalogo de Servicios de Interconexión</v>
      </c>
      <c r="D210" t="str">
        <v/>
      </c>
      <c r="E210" t="str">
        <v>Creación</v>
      </c>
      <c r="F210" t="str">
        <v/>
      </c>
      <c r="G210" t="str">
        <v>Ricardo Garmendia</v>
      </c>
      <c r="H210" t="str">
        <v>Sin TTL</v>
      </c>
      <c r="I210" t="str">
        <v>Victor Valqui</v>
      </c>
      <c r="J210" t="str">
        <v>Franklyn Velasco</v>
      </c>
      <c r="K210" t="str">
        <v>Alex Avila</v>
      </c>
      <c r="L210" t="str">
        <v>Whatsapp, Landing Pasivos, Agente BCP</v>
      </c>
      <c r="M210" t="str">
        <v>2026-07-02</v>
      </c>
      <c r="N210" t="str">
        <v/>
      </c>
      <c r="O210" t="str">
        <v/>
      </c>
      <c r="P210" t="str">
        <v/>
      </c>
      <c r="Q210" t="str">
        <v>2026-12-01</v>
      </c>
      <c r="R210" t="str">
        <f>IF(Q210="","","Q"&amp;ROUNDUP(MONTH(Q210)/3,0)&amp;"-"&amp;YEAR(Q210))</f>
        <v>Q4-2026</v>
      </c>
      <c r="S210" t="str">
        <v>Diseño</v>
      </c>
      <c r="T210" t="str">
        <v/>
      </c>
      <c r="U210" t="str">
        <v/>
      </c>
      <c r="V210" t="str">
        <v/>
      </c>
      <c r="W210" t="str">
        <v>Alta</v>
      </c>
      <c r="X210" t="str">
        <v/>
      </c>
      <c r="Y210" t="str">
        <v/>
      </c>
      <c r="Z210" t="str">
        <v/>
      </c>
      <c r="AA210" t="str">
        <v/>
      </c>
      <c r="AB210" t="str">
        <v/>
      </c>
      <c r="AC210" t="str">
        <v>Para el Q4</v>
      </c>
    </row>
    <row r="211">
      <c r="A211" t="str">
        <v>HIST-0210</v>
      </c>
      <c r="B211" t="str">
        <v>D0126</v>
      </c>
      <c r="C211" t="str">
        <v>Catalogo de Servicios de Interconexión</v>
      </c>
      <c r="D211" t="str">
        <v/>
      </c>
      <c r="E211" t="str">
        <v>Creación</v>
      </c>
      <c r="F211" t="str">
        <v/>
      </c>
      <c r="G211" t="str">
        <v/>
      </c>
      <c r="H211" t="str">
        <v>Sin TTL</v>
      </c>
      <c r="I211" t="str">
        <v>Victor Valqui</v>
      </c>
      <c r="J211" t="str">
        <v>Franklyn Velasco</v>
      </c>
      <c r="K211" t="str">
        <v>Alex Avila</v>
      </c>
      <c r="L211" t="str">
        <v>Landing Pasivos</v>
      </c>
      <c r="M211" t="str">
        <v>2026-07-02</v>
      </c>
      <c r="N211" t="str">
        <v/>
      </c>
      <c r="O211" t="str">
        <v/>
      </c>
      <c r="P211" t="str">
        <v/>
      </c>
      <c r="Q211" t="str">
        <v>2026-09-30</v>
      </c>
      <c r="R211" t="str">
        <f>IF(Q211="","","Q"&amp;ROUNDUP(MONTH(Q211)/3,0)&amp;"-"&amp;YEAR(Q211))</f>
        <v>Q3-2026</v>
      </c>
      <c r="S211" t="str">
        <v>Diseño</v>
      </c>
      <c r="T211" t="str">
        <v/>
      </c>
      <c r="U211" t="str">
        <v/>
      </c>
      <c r="V211" t="str">
        <v/>
      </c>
      <c r="W211" t="str">
        <v>Alta</v>
      </c>
      <c r="X211" t="str">
        <v/>
      </c>
      <c r="Y211" t="str">
        <v/>
      </c>
      <c r="Z211" t="str">
        <v/>
      </c>
      <c r="AA211" t="str">
        <v/>
      </c>
      <c r="AB211" t="str">
        <v/>
      </c>
      <c r="AC211" t="str">
        <v>Para el Q3, API BIAN para el proceso de Onboarding</v>
      </c>
    </row>
    <row r="212">
      <c r="A212" t="str">
        <v>HIST-0211</v>
      </c>
      <c r="B212" t="str">
        <v>D0127</v>
      </c>
      <c r="C212" t="str">
        <v>Catalogo de Servicios de Interconexión</v>
      </c>
      <c r="D212" t="str">
        <v/>
      </c>
      <c r="E212" t="str">
        <v>Creación</v>
      </c>
      <c r="F212" t="str">
        <v/>
      </c>
      <c r="G212" t="str">
        <v>Ricardo Garmendia</v>
      </c>
      <c r="H212" t="str">
        <v>Sin TTL</v>
      </c>
      <c r="I212" t="str">
        <v>Victor Valqui</v>
      </c>
      <c r="J212" t="str">
        <v>Franklyn Velasco</v>
      </c>
      <c r="K212" t="str">
        <v>Alex Avila</v>
      </c>
      <c r="L212" t="str">
        <v>Whatsapp, Landing Pasivos, Agente BCP</v>
      </c>
      <c r="M212" t="str">
        <v>2026-07-02</v>
      </c>
      <c r="N212" t="str">
        <v/>
      </c>
      <c r="O212" t="str">
        <v/>
      </c>
      <c r="P212" t="str">
        <v/>
      </c>
      <c r="Q212" t="str">
        <v>2026-12-01</v>
      </c>
      <c r="R212" t="str">
        <f>IF(Q212="","","Q"&amp;ROUNDUP(MONTH(Q212)/3,0)&amp;"-"&amp;YEAR(Q212))</f>
        <v>Q4-2026</v>
      </c>
      <c r="S212" t="str">
        <v>Diseño</v>
      </c>
      <c r="T212" t="str">
        <v/>
      </c>
      <c r="U212" t="str">
        <v/>
      </c>
      <c r="V212" t="str">
        <v/>
      </c>
      <c r="W212" t="str">
        <v>Alta</v>
      </c>
      <c r="X212" t="str">
        <v/>
      </c>
      <c r="Y212" t="str">
        <v/>
      </c>
      <c r="Z212" t="str">
        <v/>
      </c>
      <c r="AA212" t="str">
        <v/>
      </c>
      <c r="AB212" t="str">
        <v/>
      </c>
      <c r="AC212" t="str">
        <v>Para el Q4</v>
      </c>
    </row>
    <row r="213">
      <c r="A213" t="str">
        <v>HIST-0212</v>
      </c>
      <c r="B213" t="str">
        <v>D0108</v>
      </c>
      <c r="C213" t="str">
        <v>Catalogo de Servicios de Interconexión</v>
      </c>
      <c r="D213" t="str">
        <v/>
      </c>
      <c r="E213" t="str">
        <v>Creación</v>
      </c>
      <c r="F213" t="str">
        <v/>
      </c>
      <c r="G213" t="str">
        <v>Ricardo Garmendia</v>
      </c>
      <c r="H213" t="str">
        <v>Sin TTL</v>
      </c>
      <c r="I213" t="str">
        <v>Victor Valqui</v>
      </c>
      <c r="J213" t="str">
        <v>Franklyn Velasco</v>
      </c>
      <c r="K213" t="str">
        <v>Alex Avila</v>
      </c>
      <c r="L213" t="str">
        <v>Whatsapp, Landing Pasivos, Agente BCP</v>
      </c>
      <c r="M213" t="str">
        <v>2026-07-02</v>
      </c>
      <c r="N213" t="str">
        <v/>
      </c>
      <c r="O213" t="str">
        <v/>
      </c>
      <c r="P213" t="str">
        <v/>
      </c>
      <c r="Q213" t="str">
        <v>2026-12-01</v>
      </c>
      <c r="R213" t="str">
        <f>IF(Q213="","","Q"&amp;ROUNDUP(MONTH(Q213)/3,0)&amp;"-"&amp;YEAR(Q213))</f>
        <v>Q4-2026</v>
      </c>
      <c r="S213" t="str">
        <v>Diseño</v>
      </c>
      <c r="T213" t="str">
        <v/>
      </c>
      <c r="U213" t="str">
        <v/>
      </c>
      <c r="V213" t="str">
        <v/>
      </c>
      <c r="W213" t="str">
        <v>Alta</v>
      </c>
      <c r="X213" t="str">
        <v/>
      </c>
      <c r="Y213" t="str">
        <v/>
      </c>
      <c r="Z213" t="str">
        <v/>
      </c>
      <c r="AA213" t="str">
        <v/>
      </c>
      <c r="AB213" t="str">
        <v/>
      </c>
      <c r="AC213" t="str">
        <v>Para el Q4</v>
      </c>
    </row>
    <row r="214">
      <c r="A214" t="str">
        <v>HIST-0213</v>
      </c>
      <c r="B214" t="str">
        <v>D0016</v>
      </c>
      <c r="C214" t="str">
        <v>Catalogo de Servicios de Interconexión</v>
      </c>
      <c r="D214" t="str">
        <v/>
      </c>
      <c r="E214" t="str">
        <v>Creación</v>
      </c>
      <c r="F214" t="str">
        <v/>
      </c>
      <c r="G214" t="str">
        <v>Ricardo Garmendia</v>
      </c>
      <c r="H214" t="str">
        <v>Sin TTL</v>
      </c>
      <c r="I214" t="str">
        <v>Victor Valqui</v>
      </c>
      <c r="J214" t="str">
        <v>Franklyn Velasco</v>
      </c>
      <c r="K214" t="str">
        <v>Alex Avila</v>
      </c>
      <c r="L214" t="str">
        <v>Whatsapp, Landing Pasivos, Agente BCP</v>
      </c>
      <c r="M214" t="str">
        <v>2026-07-02</v>
      </c>
      <c r="N214" t="str">
        <v/>
      </c>
      <c r="O214" t="str">
        <v/>
      </c>
      <c r="P214" t="str">
        <v/>
      </c>
      <c r="Q214" t="str">
        <v>2026-12-01</v>
      </c>
      <c r="R214" t="str">
        <f>IF(Q214="","","Q"&amp;ROUNDUP(MONTH(Q214)/3,0)&amp;"-"&amp;YEAR(Q214))</f>
        <v>Q4-2026</v>
      </c>
      <c r="S214" t="str">
        <v>Diseño</v>
      </c>
      <c r="T214" t="str">
        <v/>
      </c>
      <c r="U214" t="str">
        <v/>
      </c>
      <c r="V214" t="str">
        <v/>
      </c>
      <c r="W214" t="str">
        <v>Alta</v>
      </c>
      <c r="X214" t="str">
        <v/>
      </c>
      <c r="Y214" t="str">
        <v/>
      </c>
      <c r="Z214" t="str">
        <v/>
      </c>
      <c r="AA214" t="str">
        <v/>
      </c>
      <c r="AB214" t="str">
        <v/>
      </c>
      <c r="AC214" t="str">
        <v>Para el Q4</v>
      </c>
    </row>
    <row r="215">
      <c r="A215" t="str">
        <v>HIST-0214</v>
      </c>
      <c r="B215" t="str">
        <v>D0026</v>
      </c>
      <c r="C215" t="str">
        <v>Catalogo de Servicios de Interconexión</v>
      </c>
      <c r="D215" t="str">
        <v/>
      </c>
      <c r="E215" t="str">
        <v>Creación</v>
      </c>
      <c r="F215" t="str">
        <v/>
      </c>
      <c r="G215" t="str">
        <v/>
      </c>
      <c r="H215" t="str">
        <v>Sin TTL</v>
      </c>
      <c r="I215" t="str">
        <v>Victor Valqui</v>
      </c>
      <c r="J215" t="str">
        <v>Franklyn Velasco</v>
      </c>
      <c r="K215" t="str">
        <v>Alex Avila</v>
      </c>
      <c r="L215" t="str">
        <v>Landing Pasivos</v>
      </c>
      <c r="M215" t="str">
        <v>2026-07-02</v>
      </c>
      <c r="N215" t="str">
        <v/>
      </c>
      <c r="O215" t="str">
        <v/>
      </c>
      <c r="P215" t="str">
        <v/>
      </c>
      <c r="Q215" t="str">
        <v>2026-09-30</v>
      </c>
      <c r="R215" t="str">
        <f>IF(Q215="","","Q"&amp;ROUNDUP(MONTH(Q215)/3,0)&amp;"-"&amp;YEAR(Q215))</f>
        <v>Q3-2026</v>
      </c>
      <c r="S215" t="str">
        <v>Diseño</v>
      </c>
      <c r="T215" t="str">
        <v/>
      </c>
      <c r="U215" t="str">
        <v/>
      </c>
      <c r="V215" t="str">
        <v/>
      </c>
      <c r="W215" t="str">
        <v>Alta</v>
      </c>
      <c r="X215" t="str">
        <v/>
      </c>
      <c r="Y215" t="str">
        <v/>
      </c>
      <c r="Z215" t="str">
        <v/>
      </c>
      <c r="AA215" t="str">
        <v/>
      </c>
      <c r="AB215" t="str">
        <v/>
      </c>
      <c r="AC215" t="str">
        <v>Para el Q3, API BIAN para el proceso de Onboarding</v>
      </c>
    </row>
    <row r="216">
      <c r="A216" t="str">
        <v>HIST-0215</v>
      </c>
      <c r="B216" t="str">
        <v>D0128</v>
      </c>
      <c r="C216" t="str">
        <v>Catalogo de Servicios de Interconexión</v>
      </c>
      <c r="D216" t="str">
        <v/>
      </c>
      <c r="E216" t="str">
        <v>Creación</v>
      </c>
      <c r="F216" t="str">
        <v/>
      </c>
      <c r="G216" t="str">
        <v>Ricardo Garmendia</v>
      </c>
      <c r="H216" t="str">
        <v>Sin TTL</v>
      </c>
      <c r="I216" t="str">
        <v>Victor Valqui</v>
      </c>
      <c r="J216" t="str">
        <v>Franklyn Velasco</v>
      </c>
      <c r="K216" t="str">
        <v>Alex Avila</v>
      </c>
      <c r="L216" t="str">
        <v>Whatsapp, Landing Pasivos, Agente BCP</v>
      </c>
      <c r="M216" t="str">
        <v>2026-07-02</v>
      </c>
      <c r="N216" t="str">
        <v/>
      </c>
      <c r="O216" t="str">
        <v/>
      </c>
      <c r="P216" t="str">
        <v/>
      </c>
      <c r="Q216" t="str">
        <v>2026-12-01</v>
      </c>
      <c r="R216" t="str">
        <f>IF(Q216="","","Q"&amp;ROUNDUP(MONTH(Q216)/3,0)&amp;"-"&amp;YEAR(Q216))</f>
        <v>Q4-2026</v>
      </c>
      <c r="S216" t="str">
        <v>Diseño</v>
      </c>
      <c r="T216" t="str">
        <v/>
      </c>
      <c r="U216" t="str">
        <v/>
      </c>
      <c r="V216" t="str">
        <v/>
      </c>
      <c r="W216" t="str">
        <v>Alta</v>
      </c>
      <c r="X216" t="str">
        <v/>
      </c>
      <c r="Y216" t="str">
        <v/>
      </c>
      <c r="Z216" t="str">
        <v/>
      </c>
      <c r="AA216" t="str">
        <v/>
      </c>
      <c r="AB216" t="str">
        <v/>
      </c>
      <c r="AC216" t="str">
        <v>Para el Q4</v>
      </c>
    </row>
    <row r="217">
      <c r="A217" t="str">
        <v>HIST-0216</v>
      </c>
      <c r="B217" t="str">
        <v>D0030</v>
      </c>
      <c r="C217" t="str">
        <v>Catalogo de Servicios de Interconexión</v>
      </c>
      <c r="D217" t="str">
        <v/>
      </c>
      <c r="E217" t="str">
        <v>Creación</v>
      </c>
      <c r="F217" t="str">
        <v/>
      </c>
      <c r="G217" t="str">
        <v>Ricardo Garmendia</v>
      </c>
      <c r="H217" t="str">
        <v>Sin TTL</v>
      </c>
      <c r="I217" t="str">
        <v>Victor Valqui</v>
      </c>
      <c r="J217" t="str">
        <v>Franklyn Velasco</v>
      </c>
      <c r="K217" t="str">
        <v>Alex Avila</v>
      </c>
      <c r="L217" t="str">
        <v>Whatsapp, Landing Pasivos, Agente BCP</v>
      </c>
      <c r="M217" t="str">
        <v>2026-07-02</v>
      </c>
      <c r="N217" t="str">
        <v/>
      </c>
      <c r="O217" t="str">
        <v/>
      </c>
      <c r="P217" t="str">
        <v/>
      </c>
      <c r="Q217" t="str">
        <v>2026-12-01</v>
      </c>
      <c r="R217" t="str">
        <f>IF(Q217="","","Q"&amp;ROUNDUP(MONTH(Q217)/3,0)&amp;"-"&amp;YEAR(Q217))</f>
        <v>Q4-2026</v>
      </c>
      <c r="S217" t="str">
        <v>Diseño</v>
      </c>
      <c r="T217" t="str">
        <v/>
      </c>
      <c r="U217" t="str">
        <v/>
      </c>
      <c r="V217" t="str">
        <v/>
      </c>
      <c r="W217" t="str">
        <v>Alta</v>
      </c>
      <c r="X217" t="str">
        <v/>
      </c>
      <c r="Y217" t="str">
        <v/>
      </c>
      <c r="Z217" t="str">
        <v/>
      </c>
      <c r="AA217" t="str">
        <v/>
      </c>
      <c r="AB217" t="str">
        <v/>
      </c>
      <c r="AC217" t="str">
        <v>Para el Q4</v>
      </c>
    </row>
    <row r="218">
      <c r="A218" t="str">
        <v>HIST-0217</v>
      </c>
      <c r="B218" t="str">
        <v>D0011</v>
      </c>
      <c r="C218" t="str">
        <v>Catalogo de Servicios de Interconexión</v>
      </c>
      <c r="D218" t="str">
        <v/>
      </c>
      <c r="E218" t="str">
        <v>Creación</v>
      </c>
      <c r="F218" t="str">
        <v/>
      </c>
      <c r="G218" t="str">
        <v/>
      </c>
      <c r="H218" t="str">
        <v>Sin TTL</v>
      </c>
      <c r="I218" t="str">
        <v>Victor Valqui</v>
      </c>
      <c r="J218" t="str">
        <v>Franklyn Velasco</v>
      </c>
      <c r="K218" t="str">
        <v>Alex Avila</v>
      </c>
      <c r="L218" t="str">
        <v>Landing Pasivos</v>
      </c>
      <c r="M218" t="str">
        <v>2026-07-02</v>
      </c>
      <c r="N218" t="str">
        <v/>
      </c>
      <c r="O218" t="str">
        <v/>
      </c>
      <c r="P218" t="str">
        <v/>
      </c>
      <c r="Q218" t="str">
        <v>2026-09-30</v>
      </c>
      <c r="R218" t="str">
        <f>IF(Q218="","","Q"&amp;ROUNDUP(MONTH(Q218)/3,0)&amp;"-"&amp;YEAR(Q218))</f>
        <v>Q3-2026</v>
      </c>
      <c r="S218" t="str">
        <v>Diseño</v>
      </c>
      <c r="T218" t="str">
        <v/>
      </c>
      <c r="U218" t="str">
        <v/>
      </c>
      <c r="V218" t="str">
        <v/>
      </c>
      <c r="W218" t="str">
        <v>Alta</v>
      </c>
      <c r="X218" t="str">
        <v/>
      </c>
      <c r="Y218" t="str">
        <v/>
      </c>
      <c r="Z218" t="str">
        <v/>
      </c>
      <c r="AA218" t="str">
        <v/>
      </c>
      <c r="AB218" t="str">
        <v/>
      </c>
      <c r="AC218" t="str">
        <v>Para el Q3, API BIAN para el proceso de Onboarding</v>
      </c>
    </row>
    <row r="219">
      <c r="A219" t="str">
        <v>HIST-0218</v>
      </c>
      <c r="B219" t="str">
        <v>D0111</v>
      </c>
      <c r="C219" t="str">
        <v>Catalogo de Servicios de Interconexión</v>
      </c>
      <c r="D219" t="str">
        <v/>
      </c>
      <c r="E219" t="str">
        <v>Creación</v>
      </c>
      <c r="F219" t="str">
        <v/>
      </c>
      <c r="G219" t="str">
        <v>Ricardo Garmendia</v>
      </c>
      <c r="H219" t="str">
        <v>Sin TTL</v>
      </c>
      <c r="I219" t="str">
        <v>Victor Valqui</v>
      </c>
      <c r="J219" t="str">
        <v>Franklyn Velasco</v>
      </c>
      <c r="K219" t="str">
        <v>Alex Avila</v>
      </c>
      <c r="L219" t="str">
        <v>Whatsapp, Landing Pasivos, Agente BCP</v>
      </c>
      <c r="M219" t="str">
        <v>2026-07-02</v>
      </c>
      <c r="N219" t="str">
        <v/>
      </c>
      <c r="O219" t="str">
        <v/>
      </c>
      <c r="P219" t="str">
        <v/>
      </c>
      <c r="Q219" t="str">
        <v>2026-12-01</v>
      </c>
      <c r="R219" t="str">
        <f>IF(Q219="","","Q"&amp;ROUNDUP(MONTH(Q219)/3,0)&amp;"-"&amp;YEAR(Q219))</f>
        <v>Q4-2026</v>
      </c>
      <c r="S219" t="str">
        <v>Diseño</v>
      </c>
      <c r="T219" t="str">
        <v/>
      </c>
      <c r="U219" t="str">
        <v/>
      </c>
      <c r="V219" t="str">
        <v/>
      </c>
      <c r="W219" t="str">
        <v>Alta</v>
      </c>
      <c r="X219" t="str">
        <v/>
      </c>
      <c r="Y219" t="str">
        <v/>
      </c>
      <c r="Z219" t="str">
        <v/>
      </c>
      <c r="AA219" t="str">
        <v/>
      </c>
      <c r="AB219" t="str">
        <v/>
      </c>
      <c r="AC219" t="str">
        <v>Para el Q4</v>
      </c>
    </row>
    <row r="220">
      <c r="A220" t="str">
        <v>HIST-0219</v>
      </c>
      <c r="B220" t="str">
        <v>D0129</v>
      </c>
      <c r="C220" t="str">
        <v>Libro de Reclamaciones</v>
      </c>
      <c r="D220" t="str">
        <v/>
      </c>
      <c r="E220" t="str">
        <v>Creación</v>
      </c>
      <c r="F220" t="str">
        <v>OP-0099</v>
      </c>
      <c r="G220" t="str">
        <v>Miguel Loayza</v>
      </c>
      <c r="H220" t="str">
        <v/>
      </c>
      <c r="I220" t="str">
        <v/>
      </c>
      <c r="J220" t="str">
        <v>Danny Mercado</v>
      </c>
      <c r="K220" t="str">
        <v>Walter Gonzales</v>
      </c>
      <c r="L220" t="str">
        <v>portalweb</v>
      </c>
      <c r="M220" t="str">
        <v>2026-07-21</v>
      </c>
      <c r="N220" t="str">
        <v/>
      </c>
      <c r="O220" t="str">
        <v/>
      </c>
      <c r="P220" t="str">
        <v/>
      </c>
      <c r="Q220" t="str">
        <v>2026-07-17</v>
      </c>
      <c r="R220" t="str">
        <f>IF(Q220="","","Q"&amp;ROUNDUP(MONTH(Q220)/3,0)&amp;"-"&amp;YEAR(Q220))</f>
        <v>Q3-2026</v>
      </c>
      <c r="S220" t="str">
        <v>Producción</v>
      </c>
      <c r="T220" t="str">
        <v/>
      </c>
      <c r="U220" t="str">
        <v>v1.0.0</v>
      </c>
      <c r="V220" t="str">
        <v>No</v>
      </c>
      <c r="W220" t="str">
        <v>Media</v>
      </c>
      <c r="X220" t="str">
        <v/>
      </c>
      <c r="Y220" t="str">
        <v>Walter Gonzales</v>
      </c>
      <c r="Z220" t="str">
        <v>2026-07-21</v>
      </c>
      <c r="AA220" t="str">
        <v>Publicación inicial</v>
      </c>
      <c r="AB220" t="str">
        <v/>
      </c>
      <c r="AC220" t="str">
        <v/>
      </c>
    </row>
    <row r="221">
      <c r="A221" t="str">
        <v>HIST-0220</v>
      </c>
      <c r="B221" t="str">
        <v>D0130</v>
      </c>
      <c r="C221" t="str">
        <v>Libro de Reclamaciones</v>
      </c>
      <c r="D221" t="str">
        <v/>
      </c>
      <c r="E221" t="str">
        <v>Creación</v>
      </c>
      <c r="F221" t="str">
        <v>OP-0100</v>
      </c>
      <c r="G221" t="str">
        <v>Miguel Loayza</v>
      </c>
      <c r="H221" t="str">
        <v/>
      </c>
      <c r="I221" t="str">
        <v/>
      </c>
      <c r="J221" t="str">
        <v>Danny Mercado</v>
      </c>
      <c r="K221" t="str">
        <v>Walter Gonzales</v>
      </c>
      <c r="L221" t="str">
        <v>portalweb</v>
      </c>
      <c r="M221" t="str">
        <v>2026-07-21</v>
      </c>
      <c r="N221" t="str">
        <v/>
      </c>
      <c r="O221" t="str">
        <v/>
      </c>
      <c r="P221" t="str">
        <v/>
      </c>
      <c r="Q221" t="str">
        <v>2026-07-17</v>
      </c>
      <c r="R221" t="str">
        <f>IF(Q221="","","Q"&amp;ROUNDUP(MONTH(Q221)/3,0)&amp;"-"&amp;YEAR(Q221))</f>
        <v>Q3-2026</v>
      </c>
      <c r="S221" t="str">
        <v>Producción</v>
      </c>
      <c r="T221" t="str">
        <v/>
      </c>
      <c r="U221" t="str">
        <v>v1.0.0</v>
      </c>
      <c r="V221" t="str">
        <v>No</v>
      </c>
      <c r="W221" t="str">
        <v>Baja</v>
      </c>
      <c r="X221" t="str">
        <v/>
      </c>
      <c r="Y221" t="str">
        <v>Walter Gonzales</v>
      </c>
      <c r="Z221" t="str">
        <v>2026-07-21</v>
      </c>
      <c r="AA221" t="str">
        <v>Publicación inicial</v>
      </c>
      <c r="AB221" t="str">
        <v/>
      </c>
      <c r="AC221" t="str">
        <v/>
      </c>
    </row>
    <row r="222">
      <c r="A222" t="str">
        <v>HIST-0221</v>
      </c>
      <c r="B222" t="str">
        <v>D0131</v>
      </c>
      <c r="C222" t="str">
        <v>Libro de Reclamaciones</v>
      </c>
      <c r="D222" t="str">
        <v/>
      </c>
      <c r="E222" t="str">
        <v>Creación</v>
      </c>
      <c r="F222" t="str">
        <v>OP-0101</v>
      </c>
      <c r="G222" t="str">
        <v>Miguel Loayza</v>
      </c>
      <c r="H222" t="str">
        <v/>
      </c>
      <c r="I222" t="str">
        <v/>
      </c>
      <c r="J222" t="str">
        <v>Danny Mercado</v>
      </c>
      <c r="K222" t="str">
        <v>Walter Gonzales</v>
      </c>
      <c r="L222" t="str">
        <v>portalweb</v>
      </c>
      <c r="M222" t="str">
        <v>2026-07-21</v>
      </c>
      <c r="N222" t="str">
        <v/>
      </c>
      <c r="O222" t="str">
        <v/>
      </c>
      <c r="P222" t="str">
        <v/>
      </c>
      <c r="Q222" t="str">
        <v>2026-07-17</v>
      </c>
      <c r="R222" t="str">
        <f>IF(Q222="","","Q"&amp;ROUNDUP(MONTH(Q222)/3,0)&amp;"-"&amp;YEAR(Q222))</f>
        <v>Q3-2026</v>
      </c>
      <c r="S222" t="str">
        <v>Producción</v>
      </c>
      <c r="T222" t="str">
        <v/>
      </c>
      <c r="U222" t="str">
        <v>v1.0.0</v>
      </c>
      <c r="V222" t="str">
        <v>No</v>
      </c>
      <c r="W222" t="str">
        <v>Baja</v>
      </c>
      <c r="X222" t="str">
        <v/>
      </c>
      <c r="Y222" t="str">
        <v>Walter Gonzales</v>
      </c>
      <c r="Z222" t="str">
        <v>2026-07-21</v>
      </c>
      <c r="AA222" t="str">
        <v>Publicación inicial</v>
      </c>
      <c r="AB222" t="str">
        <v/>
      </c>
      <c r="AC222" t="str">
        <v/>
      </c>
    </row>
  </sheetData>
  <ignoredErrors>
    <ignoredError numberStoredAsText="1" sqref="A1:AC222"/>
  </ignoredErrors>
</worksheet>
</file>

<file path=xl/worksheets/sheet4.xml><?xml version="1.0" encoding="utf-8"?>
<worksheet xmlns="http://schemas.openxmlformats.org/spreadsheetml/2006/main" xmlns:r="http://schemas.openxmlformats.org/officeDocument/2006/relationships">
  <dimension ref="A1:G1"/>
  <sheetViews>
    <sheetView workbookViewId="0"/>
  </sheetViews>
  <cols>
    <col min="1" max="1" width="19.83203125" customWidth="1"/>
    <col min="2" max="2" width="23.83203125" customWidth="1"/>
    <col min="3" max="3" width="18.83203125" customWidth="1"/>
    <col min="4" max="4" width="22.83203125" customWidth="1"/>
    <col min="5" max="5" width="18.83203125" customWidth="1"/>
    <col min="6" max="6" width="12.83203125" customWidth="1"/>
    <col min="7" max="7" width="13.83203125" customWidth="1"/>
  </cols>
  <sheetData>
    <row r="1">
      <c r="A1" t="str">
        <v>ID_API_Consumidor</v>
      </c>
      <c r="B1" t="str">
        <v>Nombre_API_Consumidor</v>
      </c>
      <c r="C1" t="str">
        <v>ID_API_Consumida</v>
      </c>
      <c r="D1" t="str">
        <v>Nombre_API_Consumida</v>
      </c>
      <c r="E1" t="str">
        <v>Tipo_Dependencia</v>
      </c>
      <c r="F1" t="str">
        <v>Criticidad</v>
      </c>
      <c r="G1" t="str">
        <v>Comentarios</v>
      </c>
    </row>
  </sheetData>
  <ignoredErrors>
    <ignoredError numberStoredAsText="1" sqref="A1:G1"/>
  </ignoredErrors>
</worksheet>
</file>

<file path=xl/worksheets/sheet5.xml><?xml version="1.0" encoding="utf-8"?>
<worksheet xmlns="http://schemas.openxmlformats.org/spreadsheetml/2006/main" xmlns:r="http://schemas.openxmlformats.org/officeDocument/2006/relationships">
  <dimension ref="A1:O8"/>
  <sheetViews>
    <sheetView workbookViewId="0"/>
  </sheetViews>
  <sheetData>
    <row r="1">
      <c r="A1" t="str">
        <v>Pais</v>
      </c>
      <c r="B1" t="str">
        <v>TipoAPI_BIAN</v>
      </c>
      <c r="C1" t="str">
        <v>EstadoGeneralAPI</v>
      </c>
      <c r="D1" t="str">
        <v>CriticidadBIAN</v>
      </c>
      <c r="E1" t="str">
        <v>ProtocoloEstilo</v>
      </c>
      <c r="F1" t="str">
        <v>CanalIntegracion</v>
      </c>
      <c r="G1" t="str">
        <v>MetodoHTTP</v>
      </c>
      <c r="H1" t="str">
        <v>EstadoOperacion</v>
      </c>
      <c r="I1" t="str">
        <v>EquipoPropietario</v>
      </c>
      <c r="J1" t="str">
        <v>Accion</v>
      </c>
      <c r="K1" t="str">
        <v>EstadoActual</v>
      </c>
      <c r="L1" t="str">
        <v>Complejidad</v>
      </c>
      <c r="M1" t="str">
        <v>BreakingChange</v>
      </c>
      <c r="N1" t="str">
        <v>TipoDependencia</v>
      </c>
      <c r="O1" t="str">
        <v>Criticidad</v>
      </c>
    </row>
    <row r="2">
      <c r="A2" t="str">
        <v>Perú</v>
      </c>
      <c r="B2" t="str">
        <v>EXP</v>
      </c>
      <c r="C2" t="str">
        <v>Activa</v>
      </c>
      <c r="D2" t="str">
        <v>Alta</v>
      </c>
      <c r="E2" t="str">
        <v>REST</v>
      </c>
      <c r="F2" t="str">
        <v>APIM</v>
      </c>
      <c r="G2" t="str">
        <v>GET</v>
      </c>
      <c r="H2" t="str">
        <v>Activa</v>
      </c>
      <c r="I2" t="str">
        <v>Interconexión</v>
      </c>
      <c r="J2" t="str">
        <v>Creación</v>
      </c>
      <c r="K2" t="str">
        <v>Identificado</v>
      </c>
      <c r="L2" t="str">
        <v>Baja</v>
      </c>
      <c r="M2" t="str">
        <v>Sí</v>
      </c>
      <c r="N2" t="str">
        <v>Síncrona (REST)</v>
      </c>
      <c r="O2" t="str">
        <v>Crítica</v>
      </c>
    </row>
    <row r="3">
      <c r="A3" t="str">
        <v>Colombia</v>
      </c>
      <c r="B3" t="str">
        <v>PROC</v>
      </c>
      <c r="C3" t="str">
        <v>En Desarrollo</v>
      </c>
      <c r="D3" t="str">
        <v>Media</v>
      </c>
      <c r="E3" t="str">
        <v>Evento</v>
      </c>
      <c r="F3" t="str">
        <v>AKS</v>
      </c>
      <c r="G3" t="str">
        <v>POST</v>
      </c>
      <c r="H3" t="str">
        <v>Deprecada</v>
      </c>
      <c r="I3" t="str">
        <v>Core / Legado</v>
      </c>
      <c r="J3" t="str">
        <v>Modificación</v>
      </c>
      <c r="K3" t="str">
        <v>Backlog</v>
      </c>
      <c r="L3" t="str">
        <v>Media</v>
      </c>
      <c r="M3" t="str">
        <v>No</v>
      </c>
      <c r="N3" t="str">
        <v>Asíncrona (Evento/Kafka)</v>
      </c>
      <c r="O3" t="str">
        <v>Alta</v>
      </c>
    </row>
    <row r="4">
      <c r="A4" t="str">
        <v>Otro</v>
      </c>
      <c r="B4" t="str">
        <v>SD</v>
      </c>
      <c r="C4" t="str">
        <v>En Mantenimiento</v>
      </c>
      <c r="D4" t="str">
        <v>Baja</v>
      </c>
      <c r="E4" t="str">
        <v>GraphQL</v>
      </c>
      <c r="F4" t="str">
        <v>Azure Event Hub</v>
      </c>
      <c r="G4" t="str">
        <v>PUT</v>
      </c>
      <c r="H4" t="str">
        <v/>
      </c>
      <c r="I4" t="str">
        <v>Otro</v>
      </c>
      <c r="J4" t="str">
        <v>Reutilización</v>
      </c>
      <c r="K4" t="str">
        <v>Diseño</v>
      </c>
      <c r="L4" t="str">
        <v>Alta</v>
      </c>
      <c r="M4" t="str">
        <v/>
      </c>
      <c r="N4" t="str">
        <v/>
      </c>
      <c r="O4" t="str">
        <v>Media</v>
      </c>
    </row>
    <row r="5">
      <c r="A5" t="str">
        <v/>
      </c>
      <c r="B5" t="str">
        <v>SYS</v>
      </c>
      <c r="C5" t="str">
        <v>Deprecada</v>
      </c>
      <c r="D5" t="str">
        <v/>
      </c>
      <c r="E5" t="str">
        <v>SOAP</v>
      </c>
      <c r="F5" t="str">
        <v>OCP</v>
      </c>
      <c r="G5" t="str">
        <v>PATCH</v>
      </c>
      <c r="H5" t="str">
        <v/>
      </c>
      <c r="I5" t="str">
        <v/>
      </c>
      <c r="J5" t="str">
        <v/>
      </c>
      <c r="K5" t="str">
        <v>Desarrollo</v>
      </c>
      <c r="L5" t="str">
        <v/>
      </c>
      <c r="M5" t="str">
        <v/>
      </c>
      <c r="N5" t="str">
        <v/>
      </c>
      <c r="O5" t="str">
        <v>Baja</v>
      </c>
    </row>
    <row r="6">
      <c r="A6" t="str">
        <v/>
      </c>
      <c r="B6" t="str">
        <v/>
      </c>
      <c r="C6" t="str">
        <v/>
      </c>
      <c r="D6" t="str">
        <v/>
      </c>
      <c r="E6" t="str">
        <v>Otro</v>
      </c>
      <c r="F6" t="str">
        <v>CA</v>
      </c>
      <c r="G6" t="str">
        <v>DELETE</v>
      </c>
      <c r="H6" t="str">
        <v/>
      </c>
      <c r="I6" t="str">
        <v/>
      </c>
      <c r="J6" t="str">
        <v/>
      </c>
      <c r="K6" t="str">
        <v>Calidad</v>
      </c>
      <c r="L6" t="str">
        <v/>
      </c>
      <c r="M6" t="str">
        <v/>
      </c>
      <c r="N6" t="str">
        <v/>
      </c>
      <c r="O6" t="str">
        <v/>
      </c>
    </row>
    <row r="7">
      <c r="A7" t="str">
        <v/>
      </c>
      <c r="B7" t="str">
        <v/>
      </c>
      <c r="C7" t="str">
        <v/>
      </c>
      <c r="D7" t="str">
        <v/>
      </c>
      <c r="E7" t="str">
        <v/>
      </c>
      <c r="F7" t="str">
        <v/>
      </c>
      <c r="G7" t="str">
        <v/>
      </c>
      <c r="H7" t="str">
        <v/>
      </c>
      <c r="I7" t="str">
        <v/>
      </c>
      <c r="J7" t="str">
        <v/>
      </c>
      <c r="K7" t="str">
        <v>Producción</v>
      </c>
      <c r="L7" t="str">
        <v/>
      </c>
      <c r="M7" t="str">
        <v/>
      </c>
      <c r="N7" t="str">
        <v/>
      </c>
      <c r="O7" t="str">
        <v/>
      </c>
    </row>
    <row r="8">
      <c r="A8" t="str">
        <v/>
      </c>
      <c r="B8" t="str">
        <v/>
      </c>
      <c r="C8" t="str">
        <v/>
      </c>
      <c r="D8" t="str">
        <v/>
      </c>
      <c r="E8" t="str">
        <v/>
      </c>
      <c r="F8" t="str">
        <v/>
      </c>
      <c r="G8" t="str">
        <v/>
      </c>
      <c r="H8" t="str">
        <v/>
      </c>
      <c r="I8" t="str">
        <v/>
      </c>
      <c r="J8" t="str">
        <v/>
      </c>
      <c r="K8" t="str">
        <v>Deprecada</v>
      </c>
      <c r="L8" t="str">
        <v/>
      </c>
      <c r="M8" t="str">
        <v/>
      </c>
      <c r="N8" t="str">
        <v/>
      </c>
      <c r="O8" t="str">
        <v/>
      </c>
    </row>
  </sheetData>
  <ignoredErrors>
    <ignoredError numberStoredAsText="1" sqref="A1:O8"/>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5</vt:i4>
      </vt:variant>
    </vt:vector>
  </HeadingPairs>
  <TitlesOfParts>
    <vt:vector size="5" baseType="lpstr">
      <vt:lpstr>Catálogo_APIs</vt:lpstr>
      <vt:lpstr>Catálogo_Operaciones_API</vt:lpstr>
      <vt:lpstr>Histórico_Proyectos_API</vt:lpstr>
      <vt:lpstr>Dependencias_API</vt:lpstr>
      <vt:lpstr>Listas_Validacion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